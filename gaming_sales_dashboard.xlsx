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NDHU\Desktop\"/>
    </mc:Choice>
  </mc:AlternateContent>
  <xr:revisionPtr revIDLastSave="0" documentId="8_{75515C54-47CF-46DC-8C8B-326ECD8E6BD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fter preprocces data" sheetId="8" r:id="rId1"/>
    <sheet name="Sheet3" sheetId="11" r:id="rId2"/>
    <sheet name="Tables" sheetId="10" r:id="rId3"/>
    <sheet name="Gaming domain " sheetId="1" r:id="rId4"/>
    <sheet name="Cleaning" sheetId="4" r:id="rId5"/>
    <sheet name="Dashboard" sheetId="9" r:id="rId6"/>
    <sheet name="dashboard2" sheetId="12" r:id="rId7"/>
  </sheets>
  <definedNames>
    <definedName name="Slicer_Engagement_Level">#N/A</definedName>
    <definedName name="Slicer_Made_Purchase">#N/A</definedName>
    <definedName name="Slicer_Platform">#N/A</definedName>
    <definedName name="Slicer_Region">#N/A</definedName>
    <definedName name="Slicer_Suspicious_Flag">#N/A</definedName>
    <definedName name="Slicer_Year_Month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B2" i="4" l="1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R501" i="1"/>
  <c r="Q501" i="1"/>
  <c r="P501" i="1"/>
  <c r="O501" i="1"/>
  <c r="R500" i="1"/>
  <c r="Q500" i="1"/>
  <c r="P500" i="1"/>
  <c r="O500" i="1"/>
  <c r="R499" i="1"/>
  <c r="Q499" i="1"/>
  <c r="P499" i="1"/>
  <c r="O499" i="1"/>
  <c r="R498" i="1"/>
  <c r="Q498" i="1"/>
  <c r="P498" i="1"/>
  <c r="O498" i="1"/>
  <c r="R497" i="1"/>
  <c r="Q497" i="1"/>
  <c r="P497" i="1"/>
  <c r="O497" i="1"/>
  <c r="R496" i="1"/>
  <c r="Q496" i="1"/>
  <c r="P496" i="1"/>
  <c r="O496" i="1"/>
  <c r="R495" i="1"/>
  <c r="Q495" i="1"/>
  <c r="P495" i="1"/>
  <c r="O495" i="1"/>
  <c r="R494" i="1"/>
  <c r="Q494" i="1"/>
  <c r="P494" i="1"/>
  <c r="O494" i="1"/>
  <c r="R493" i="1"/>
  <c r="Q493" i="1"/>
  <c r="P493" i="1"/>
  <c r="O493" i="1"/>
  <c r="R492" i="1"/>
  <c r="Q492" i="1"/>
  <c r="P492" i="1"/>
  <c r="O492" i="1"/>
  <c r="R491" i="1"/>
  <c r="Q491" i="1"/>
  <c r="P491" i="1"/>
  <c r="O491" i="1"/>
  <c r="R490" i="1"/>
  <c r="Q490" i="1"/>
  <c r="P490" i="1"/>
  <c r="O490" i="1"/>
  <c r="R489" i="1"/>
  <c r="Q489" i="1"/>
  <c r="P489" i="1"/>
  <c r="O489" i="1"/>
  <c r="R488" i="1"/>
  <c r="Q488" i="1"/>
  <c r="P488" i="1"/>
  <c r="O488" i="1"/>
  <c r="R487" i="1"/>
  <c r="Q487" i="1"/>
  <c r="P487" i="1"/>
  <c r="O487" i="1"/>
  <c r="R486" i="1"/>
  <c r="Q486" i="1"/>
  <c r="P486" i="1"/>
  <c r="O486" i="1"/>
  <c r="R485" i="1"/>
  <c r="Q485" i="1"/>
  <c r="P485" i="1"/>
  <c r="O485" i="1"/>
  <c r="R484" i="1"/>
  <c r="Q484" i="1"/>
  <c r="P484" i="1"/>
  <c r="O484" i="1"/>
  <c r="R483" i="1"/>
  <c r="Q483" i="1"/>
  <c r="P483" i="1"/>
  <c r="O483" i="1"/>
  <c r="R482" i="1"/>
  <c r="Q482" i="1"/>
  <c r="P482" i="1"/>
  <c r="O482" i="1"/>
  <c r="R481" i="1"/>
  <c r="Q481" i="1"/>
  <c r="P481" i="1"/>
  <c r="O481" i="1"/>
  <c r="R480" i="1"/>
  <c r="Q480" i="1"/>
  <c r="P480" i="1"/>
  <c r="O480" i="1"/>
  <c r="R479" i="1"/>
  <c r="Q479" i="1"/>
  <c r="P479" i="1"/>
  <c r="O479" i="1"/>
  <c r="R478" i="1"/>
  <c r="Q478" i="1"/>
  <c r="P478" i="1"/>
  <c r="O478" i="1"/>
  <c r="R477" i="1"/>
  <c r="Q477" i="1"/>
  <c r="P477" i="1"/>
  <c r="O477" i="1"/>
  <c r="R476" i="1"/>
  <c r="Q476" i="1"/>
  <c r="P476" i="1"/>
  <c r="O476" i="1"/>
  <c r="R475" i="1"/>
  <c r="Q475" i="1"/>
  <c r="P475" i="1"/>
  <c r="O475" i="1"/>
  <c r="R474" i="1"/>
  <c r="Q474" i="1"/>
  <c r="P474" i="1"/>
  <c r="O474" i="1"/>
  <c r="R473" i="1"/>
  <c r="Q473" i="1"/>
  <c r="P473" i="1"/>
  <c r="O473" i="1"/>
  <c r="R472" i="1"/>
  <c r="Q472" i="1"/>
  <c r="P472" i="1"/>
  <c r="O472" i="1"/>
  <c r="R471" i="1"/>
  <c r="Q471" i="1"/>
  <c r="P471" i="1"/>
  <c r="O471" i="1"/>
  <c r="R470" i="1"/>
  <c r="Q470" i="1"/>
  <c r="P470" i="1"/>
  <c r="O470" i="1"/>
  <c r="R469" i="1"/>
  <c r="Q469" i="1"/>
  <c r="P469" i="1"/>
  <c r="O469" i="1"/>
  <c r="R468" i="1"/>
  <c r="Q468" i="1"/>
  <c r="P468" i="1"/>
  <c r="O468" i="1"/>
  <c r="R467" i="1"/>
  <c r="Q467" i="1"/>
  <c r="P467" i="1"/>
  <c r="O467" i="1"/>
  <c r="R466" i="1"/>
  <c r="Q466" i="1"/>
  <c r="P466" i="1"/>
  <c r="O466" i="1"/>
  <c r="R465" i="1"/>
  <c r="Q465" i="1"/>
  <c r="P465" i="1"/>
  <c r="O465" i="1"/>
  <c r="R464" i="1"/>
  <c r="Q464" i="1"/>
  <c r="P464" i="1"/>
  <c r="O464" i="1"/>
  <c r="R463" i="1"/>
  <c r="Q463" i="1"/>
  <c r="P463" i="1"/>
  <c r="O463" i="1"/>
  <c r="R462" i="1"/>
  <c r="Q462" i="1"/>
  <c r="P462" i="1"/>
  <c r="O462" i="1"/>
  <c r="R461" i="1"/>
  <c r="Q461" i="1"/>
  <c r="P461" i="1"/>
  <c r="O461" i="1"/>
  <c r="R460" i="1"/>
  <c r="Q460" i="1"/>
  <c r="P460" i="1"/>
  <c r="O460" i="1"/>
  <c r="R459" i="1"/>
  <c r="Q459" i="1"/>
  <c r="P459" i="1"/>
  <c r="O459" i="1"/>
  <c r="R458" i="1"/>
  <c r="Q458" i="1"/>
  <c r="P458" i="1"/>
  <c r="O458" i="1"/>
  <c r="R457" i="1"/>
  <c r="Q457" i="1"/>
  <c r="P457" i="1"/>
  <c r="O457" i="1"/>
  <c r="R456" i="1"/>
  <c r="Q456" i="1"/>
  <c r="P456" i="1"/>
  <c r="O456" i="1"/>
  <c r="R455" i="1"/>
  <c r="Q455" i="1"/>
  <c r="P455" i="1"/>
  <c r="O455" i="1"/>
  <c r="R454" i="1"/>
  <c r="Q454" i="1"/>
  <c r="P454" i="1"/>
  <c r="O454" i="1"/>
  <c r="R453" i="1"/>
  <c r="Q453" i="1"/>
  <c r="P453" i="1"/>
  <c r="O453" i="1"/>
  <c r="R452" i="1"/>
  <c r="Q452" i="1"/>
  <c r="P452" i="1"/>
  <c r="O452" i="1"/>
  <c r="R451" i="1"/>
  <c r="Q451" i="1"/>
  <c r="P451" i="1"/>
  <c r="O451" i="1"/>
  <c r="R450" i="1"/>
  <c r="Q450" i="1"/>
  <c r="P450" i="1"/>
  <c r="O450" i="1"/>
  <c r="R449" i="1"/>
  <c r="Q449" i="1"/>
  <c r="P449" i="1"/>
  <c r="O449" i="1"/>
  <c r="R448" i="1"/>
  <c r="Q448" i="1"/>
  <c r="P448" i="1"/>
  <c r="O448" i="1"/>
  <c r="R447" i="1"/>
  <c r="Q447" i="1"/>
  <c r="P447" i="1"/>
  <c r="O447" i="1"/>
  <c r="R446" i="1"/>
  <c r="Q446" i="1"/>
  <c r="P446" i="1"/>
  <c r="O446" i="1"/>
  <c r="R445" i="1"/>
  <c r="Q445" i="1"/>
  <c r="P445" i="1"/>
  <c r="O445" i="1"/>
  <c r="R444" i="1"/>
  <c r="Q444" i="1"/>
  <c r="P444" i="1"/>
  <c r="O444" i="1"/>
  <c r="R443" i="1"/>
  <c r="Q443" i="1"/>
  <c r="P443" i="1"/>
  <c r="O443" i="1"/>
  <c r="R442" i="1"/>
  <c r="Q442" i="1"/>
  <c r="P442" i="1"/>
  <c r="O442" i="1"/>
  <c r="R441" i="1"/>
  <c r="Q441" i="1"/>
  <c r="P441" i="1"/>
  <c r="O441" i="1"/>
  <c r="R440" i="1"/>
  <c r="Q440" i="1"/>
  <c r="P440" i="1"/>
  <c r="O440" i="1"/>
  <c r="R439" i="1"/>
  <c r="Q439" i="1"/>
  <c r="P439" i="1"/>
  <c r="O439" i="1"/>
  <c r="R438" i="1"/>
  <c r="Q438" i="1"/>
  <c r="P438" i="1"/>
  <c r="O438" i="1"/>
  <c r="R437" i="1"/>
  <c r="Q437" i="1"/>
  <c r="P437" i="1"/>
  <c r="O437" i="1"/>
  <c r="R436" i="1"/>
  <c r="Q436" i="1"/>
  <c r="P436" i="1"/>
  <c r="O436" i="1"/>
  <c r="R435" i="1"/>
  <c r="Q435" i="1"/>
  <c r="P435" i="1"/>
  <c r="O435" i="1"/>
  <c r="R434" i="1"/>
  <c r="Q434" i="1"/>
  <c r="P434" i="1"/>
  <c r="O434" i="1"/>
  <c r="R433" i="1"/>
  <c r="Q433" i="1"/>
  <c r="P433" i="1"/>
  <c r="O433" i="1"/>
  <c r="R432" i="1"/>
  <c r="Q432" i="1"/>
  <c r="P432" i="1"/>
  <c r="O432" i="1"/>
  <c r="R431" i="1"/>
  <c r="Q431" i="1"/>
  <c r="P431" i="1"/>
  <c r="O431" i="1"/>
  <c r="R430" i="1"/>
  <c r="Q430" i="1"/>
  <c r="P430" i="1"/>
  <c r="O430" i="1"/>
  <c r="R429" i="1"/>
  <c r="Q429" i="1"/>
  <c r="P429" i="1"/>
  <c r="O429" i="1"/>
  <c r="R428" i="1"/>
  <c r="Q428" i="1"/>
  <c r="P428" i="1"/>
  <c r="O428" i="1"/>
  <c r="R427" i="1"/>
  <c r="Q427" i="1"/>
  <c r="P427" i="1"/>
  <c r="O427" i="1"/>
  <c r="R426" i="1"/>
  <c r="Q426" i="1"/>
  <c r="P426" i="1"/>
  <c r="O426" i="1"/>
  <c r="R425" i="1"/>
  <c r="Q425" i="1"/>
  <c r="P425" i="1"/>
  <c r="O425" i="1"/>
  <c r="R424" i="1"/>
  <c r="Q424" i="1"/>
  <c r="P424" i="1"/>
  <c r="O424" i="1"/>
  <c r="R423" i="1"/>
  <c r="Q423" i="1"/>
  <c r="P423" i="1"/>
  <c r="O423" i="1"/>
  <c r="R422" i="1"/>
  <c r="Q422" i="1"/>
  <c r="P422" i="1"/>
  <c r="O422" i="1"/>
  <c r="R421" i="1"/>
  <c r="Q421" i="1"/>
  <c r="P421" i="1"/>
  <c r="O421" i="1"/>
  <c r="R420" i="1"/>
  <c r="Q420" i="1"/>
  <c r="P420" i="1"/>
  <c r="O420" i="1"/>
  <c r="R419" i="1"/>
  <c r="Q419" i="1"/>
  <c r="P419" i="1"/>
  <c r="O419" i="1"/>
  <c r="R418" i="1"/>
  <c r="Q418" i="1"/>
  <c r="P418" i="1"/>
  <c r="O418" i="1"/>
  <c r="R417" i="1"/>
  <c r="Q417" i="1"/>
  <c r="P417" i="1"/>
  <c r="O417" i="1"/>
  <c r="R416" i="1"/>
  <c r="Q416" i="1"/>
  <c r="P416" i="1"/>
  <c r="O416" i="1"/>
  <c r="R415" i="1"/>
  <c r="Q415" i="1"/>
  <c r="P415" i="1"/>
  <c r="O415" i="1"/>
  <c r="R414" i="1"/>
  <c r="Q414" i="1"/>
  <c r="P414" i="1"/>
  <c r="O414" i="1"/>
  <c r="R413" i="1"/>
  <c r="Q413" i="1"/>
  <c r="P413" i="1"/>
  <c r="O413" i="1"/>
  <c r="R412" i="1"/>
  <c r="Q412" i="1"/>
  <c r="P412" i="1"/>
  <c r="O412" i="1"/>
  <c r="R411" i="1"/>
  <c r="Q411" i="1"/>
  <c r="P411" i="1"/>
  <c r="O411" i="1"/>
  <c r="R410" i="1"/>
  <c r="Q410" i="1"/>
  <c r="P410" i="1"/>
  <c r="O410" i="1"/>
  <c r="R409" i="1"/>
  <c r="Q409" i="1"/>
  <c r="P409" i="1"/>
  <c r="O409" i="1"/>
  <c r="R408" i="1"/>
  <c r="Q408" i="1"/>
  <c r="P408" i="1"/>
  <c r="O408" i="1"/>
  <c r="R407" i="1"/>
  <c r="Q407" i="1"/>
  <c r="P407" i="1"/>
  <c r="O407" i="1"/>
  <c r="R406" i="1"/>
  <c r="Q406" i="1"/>
  <c r="P406" i="1"/>
  <c r="O406" i="1"/>
  <c r="R405" i="1"/>
  <c r="Q405" i="1"/>
  <c r="P405" i="1"/>
  <c r="O405" i="1"/>
  <c r="R404" i="1"/>
  <c r="Q404" i="1"/>
  <c r="P404" i="1"/>
  <c r="O404" i="1"/>
  <c r="R403" i="1"/>
  <c r="Q403" i="1"/>
  <c r="P403" i="1"/>
  <c r="O403" i="1"/>
  <c r="R402" i="1"/>
  <c r="Q402" i="1"/>
  <c r="P402" i="1"/>
  <c r="O402" i="1"/>
  <c r="R401" i="1"/>
  <c r="Q401" i="1"/>
  <c r="P401" i="1"/>
  <c r="O401" i="1"/>
  <c r="R400" i="1"/>
  <c r="Q400" i="1"/>
  <c r="P400" i="1"/>
  <c r="O400" i="1"/>
  <c r="R399" i="1"/>
  <c r="Q399" i="1"/>
  <c r="P399" i="1"/>
  <c r="O399" i="1"/>
  <c r="R398" i="1"/>
  <c r="Q398" i="1"/>
  <c r="P398" i="1"/>
  <c r="O398" i="1"/>
  <c r="R397" i="1"/>
  <c r="Q397" i="1"/>
  <c r="P397" i="1"/>
  <c r="O397" i="1"/>
  <c r="R396" i="1"/>
  <c r="Q396" i="1"/>
  <c r="P396" i="1"/>
  <c r="O396" i="1"/>
  <c r="R395" i="1"/>
  <c r="Q395" i="1"/>
  <c r="P395" i="1"/>
  <c r="O395" i="1"/>
  <c r="R394" i="1"/>
  <c r="Q394" i="1"/>
  <c r="P394" i="1"/>
  <c r="O394" i="1"/>
  <c r="R393" i="1"/>
  <c r="Q393" i="1"/>
  <c r="P393" i="1"/>
  <c r="O393" i="1"/>
  <c r="R392" i="1"/>
  <c r="Q392" i="1"/>
  <c r="P392" i="1"/>
  <c r="O392" i="1"/>
  <c r="R391" i="1"/>
  <c r="Q391" i="1"/>
  <c r="P391" i="1"/>
  <c r="O391" i="1"/>
  <c r="R390" i="1"/>
  <c r="Q390" i="1"/>
  <c r="P390" i="1"/>
  <c r="O390" i="1"/>
  <c r="R389" i="1"/>
  <c r="Q389" i="1"/>
  <c r="P389" i="1"/>
  <c r="O389" i="1"/>
  <c r="R388" i="1"/>
  <c r="Q388" i="1"/>
  <c r="P388" i="1"/>
  <c r="O388" i="1"/>
  <c r="R387" i="1"/>
  <c r="Q387" i="1"/>
  <c r="P387" i="1"/>
  <c r="O387" i="1"/>
  <c r="R386" i="1"/>
  <c r="Q386" i="1"/>
  <c r="P386" i="1"/>
  <c r="O386" i="1"/>
  <c r="R385" i="1"/>
  <c r="Q385" i="1"/>
  <c r="P385" i="1"/>
  <c r="O385" i="1"/>
  <c r="R384" i="1"/>
  <c r="Q384" i="1"/>
  <c r="P384" i="1"/>
  <c r="O384" i="1"/>
  <c r="R383" i="1"/>
  <c r="Q383" i="1"/>
  <c r="P383" i="1"/>
  <c r="O383" i="1"/>
  <c r="R382" i="1"/>
  <c r="Q382" i="1"/>
  <c r="P382" i="1"/>
  <c r="O382" i="1"/>
  <c r="R381" i="1"/>
  <c r="Q381" i="1"/>
  <c r="P381" i="1"/>
  <c r="O381" i="1"/>
  <c r="R380" i="1"/>
  <c r="Q380" i="1"/>
  <c r="P380" i="1"/>
  <c r="O380" i="1"/>
  <c r="R379" i="1"/>
  <c r="Q379" i="1"/>
  <c r="P379" i="1"/>
  <c r="O379" i="1"/>
  <c r="R378" i="1"/>
  <c r="Q378" i="1"/>
  <c r="P378" i="1"/>
  <c r="O378" i="1"/>
  <c r="R377" i="1"/>
  <c r="Q377" i="1"/>
  <c r="P377" i="1"/>
  <c r="O377" i="1"/>
  <c r="R376" i="1"/>
  <c r="Q376" i="1"/>
  <c r="P376" i="1"/>
  <c r="O376" i="1"/>
  <c r="R375" i="1"/>
  <c r="Q375" i="1"/>
  <c r="P375" i="1"/>
  <c r="O375" i="1"/>
  <c r="R374" i="1"/>
  <c r="Q374" i="1"/>
  <c r="P374" i="1"/>
  <c r="O374" i="1"/>
  <c r="R373" i="1"/>
  <c r="Q373" i="1"/>
  <c r="P373" i="1"/>
  <c r="O373" i="1"/>
  <c r="R372" i="1"/>
  <c r="Q372" i="1"/>
  <c r="P372" i="1"/>
  <c r="O372" i="1"/>
  <c r="R371" i="1"/>
  <c r="Q371" i="1"/>
  <c r="P371" i="1"/>
  <c r="O371" i="1"/>
  <c r="R370" i="1"/>
  <c r="Q370" i="1"/>
  <c r="P370" i="1"/>
  <c r="O370" i="1"/>
  <c r="R369" i="1"/>
  <c r="Q369" i="1"/>
  <c r="P369" i="1"/>
  <c r="O369" i="1"/>
  <c r="R368" i="1"/>
  <c r="Q368" i="1"/>
  <c r="P368" i="1"/>
  <c r="O368" i="1"/>
  <c r="R367" i="1"/>
  <c r="Q367" i="1"/>
  <c r="P367" i="1"/>
  <c r="O367" i="1"/>
  <c r="R366" i="1"/>
  <c r="Q366" i="1"/>
  <c r="P366" i="1"/>
  <c r="O366" i="1"/>
  <c r="R365" i="1"/>
  <c r="Q365" i="1"/>
  <c r="P365" i="1"/>
  <c r="O365" i="1"/>
  <c r="R364" i="1"/>
  <c r="Q364" i="1"/>
  <c r="P364" i="1"/>
  <c r="O364" i="1"/>
  <c r="R363" i="1"/>
  <c r="Q363" i="1"/>
  <c r="P363" i="1"/>
  <c r="O363" i="1"/>
  <c r="R362" i="1"/>
  <c r="Q362" i="1"/>
  <c r="P362" i="1"/>
  <c r="O362" i="1"/>
  <c r="R361" i="1"/>
  <c r="Q361" i="1"/>
  <c r="P361" i="1"/>
  <c r="O361" i="1"/>
  <c r="R360" i="1"/>
  <c r="Q360" i="1"/>
  <c r="P360" i="1"/>
  <c r="O360" i="1"/>
  <c r="R359" i="1"/>
  <c r="Q359" i="1"/>
  <c r="P359" i="1"/>
  <c r="O359" i="1"/>
  <c r="R358" i="1"/>
  <c r="Q358" i="1"/>
  <c r="P358" i="1"/>
  <c r="O358" i="1"/>
  <c r="R357" i="1"/>
  <c r="Q357" i="1"/>
  <c r="P357" i="1"/>
  <c r="O357" i="1"/>
  <c r="R356" i="1"/>
  <c r="Q356" i="1"/>
  <c r="P356" i="1"/>
  <c r="O356" i="1"/>
  <c r="R355" i="1"/>
  <c r="Q355" i="1"/>
  <c r="P355" i="1"/>
  <c r="O355" i="1"/>
  <c r="R354" i="1"/>
  <c r="Q354" i="1"/>
  <c r="P354" i="1"/>
  <c r="O354" i="1"/>
  <c r="R353" i="1"/>
  <c r="Q353" i="1"/>
  <c r="P353" i="1"/>
  <c r="O353" i="1"/>
  <c r="R352" i="1"/>
  <c r="Q352" i="1"/>
  <c r="P352" i="1"/>
  <c r="O352" i="1"/>
  <c r="R351" i="1"/>
  <c r="Q351" i="1"/>
  <c r="P351" i="1"/>
  <c r="O351" i="1"/>
  <c r="R350" i="1"/>
  <c r="Q350" i="1"/>
  <c r="P350" i="1"/>
  <c r="O350" i="1"/>
  <c r="R349" i="1"/>
  <c r="Q349" i="1"/>
  <c r="P349" i="1"/>
  <c r="O349" i="1"/>
  <c r="R348" i="1"/>
  <c r="Q348" i="1"/>
  <c r="P348" i="1"/>
  <c r="O348" i="1"/>
  <c r="R347" i="1"/>
  <c r="Q347" i="1"/>
  <c r="P347" i="1"/>
  <c r="O347" i="1"/>
  <c r="R346" i="1"/>
  <c r="Q346" i="1"/>
  <c r="P346" i="1"/>
  <c r="O346" i="1"/>
  <c r="R345" i="1"/>
  <c r="Q345" i="1"/>
  <c r="P345" i="1"/>
  <c r="O345" i="1"/>
  <c r="R344" i="1"/>
  <c r="Q344" i="1"/>
  <c r="P344" i="1"/>
  <c r="O344" i="1"/>
  <c r="R343" i="1"/>
  <c r="Q343" i="1"/>
  <c r="P343" i="1"/>
  <c r="O343" i="1"/>
  <c r="R342" i="1"/>
  <c r="Q342" i="1"/>
  <c r="P342" i="1"/>
  <c r="O342" i="1"/>
  <c r="R341" i="1"/>
  <c r="Q341" i="1"/>
  <c r="P341" i="1"/>
  <c r="O341" i="1"/>
  <c r="R340" i="1"/>
  <c r="Q340" i="1"/>
  <c r="P340" i="1"/>
  <c r="O340" i="1"/>
  <c r="R339" i="1"/>
  <c r="Q339" i="1"/>
  <c r="P339" i="1"/>
  <c r="O339" i="1"/>
  <c r="R338" i="1"/>
  <c r="Q338" i="1"/>
  <c r="P338" i="1"/>
  <c r="O338" i="1"/>
  <c r="R337" i="1"/>
  <c r="Q337" i="1"/>
  <c r="P337" i="1"/>
  <c r="O337" i="1"/>
  <c r="R336" i="1"/>
  <c r="Q336" i="1"/>
  <c r="P336" i="1"/>
  <c r="O336" i="1"/>
  <c r="R335" i="1"/>
  <c r="Q335" i="1"/>
  <c r="P335" i="1"/>
  <c r="O335" i="1"/>
  <c r="R334" i="1"/>
  <c r="Q334" i="1"/>
  <c r="P334" i="1"/>
  <c r="O334" i="1"/>
  <c r="R333" i="1"/>
  <c r="Q333" i="1"/>
  <c r="P333" i="1"/>
  <c r="O333" i="1"/>
  <c r="R332" i="1"/>
  <c r="Q332" i="1"/>
  <c r="P332" i="1"/>
  <c r="O332" i="1"/>
  <c r="R331" i="1"/>
  <c r="Q331" i="1"/>
  <c r="P331" i="1"/>
  <c r="O331" i="1"/>
  <c r="R330" i="1"/>
  <c r="Q330" i="1"/>
  <c r="P330" i="1"/>
  <c r="O330" i="1"/>
  <c r="R329" i="1"/>
  <c r="Q329" i="1"/>
  <c r="P329" i="1"/>
  <c r="O329" i="1"/>
  <c r="R328" i="1"/>
  <c r="Q328" i="1"/>
  <c r="P328" i="1"/>
  <c r="O328" i="1"/>
  <c r="R327" i="1"/>
  <c r="Q327" i="1"/>
  <c r="P327" i="1"/>
  <c r="O327" i="1"/>
  <c r="R326" i="1"/>
  <c r="Q326" i="1"/>
  <c r="P326" i="1"/>
  <c r="O326" i="1"/>
  <c r="R325" i="1"/>
  <c r="Q325" i="1"/>
  <c r="P325" i="1"/>
  <c r="O325" i="1"/>
  <c r="R324" i="1"/>
  <c r="Q324" i="1"/>
  <c r="P324" i="1"/>
  <c r="O324" i="1"/>
  <c r="R323" i="1"/>
  <c r="Q323" i="1"/>
  <c r="P323" i="1"/>
  <c r="O323" i="1"/>
  <c r="R322" i="1"/>
  <c r="Q322" i="1"/>
  <c r="P322" i="1"/>
  <c r="O322" i="1"/>
  <c r="R321" i="1"/>
  <c r="Q321" i="1"/>
  <c r="P321" i="1"/>
  <c r="O321" i="1"/>
  <c r="R320" i="1"/>
  <c r="Q320" i="1"/>
  <c r="P320" i="1"/>
  <c r="O320" i="1"/>
  <c r="R319" i="1"/>
  <c r="Q319" i="1"/>
  <c r="P319" i="1"/>
  <c r="O319" i="1"/>
  <c r="R318" i="1"/>
  <c r="Q318" i="1"/>
  <c r="P318" i="1"/>
  <c r="O318" i="1"/>
  <c r="R317" i="1"/>
  <c r="Q317" i="1"/>
  <c r="P317" i="1"/>
  <c r="O317" i="1"/>
  <c r="R316" i="1"/>
  <c r="Q316" i="1"/>
  <c r="P316" i="1"/>
  <c r="O316" i="1"/>
  <c r="R315" i="1"/>
  <c r="Q315" i="1"/>
  <c r="P315" i="1"/>
  <c r="O315" i="1"/>
  <c r="R314" i="1"/>
  <c r="Q314" i="1"/>
  <c r="P314" i="1"/>
  <c r="O314" i="1"/>
  <c r="R313" i="1"/>
  <c r="Q313" i="1"/>
  <c r="P313" i="1"/>
  <c r="O313" i="1"/>
  <c r="R312" i="1"/>
  <c r="Q312" i="1"/>
  <c r="P312" i="1"/>
  <c r="O312" i="1"/>
  <c r="R311" i="1"/>
  <c r="Q311" i="1"/>
  <c r="P311" i="1"/>
  <c r="O311" i="1"/>
  <c r="R310" i="1"/>
  <c r="Q310" i="1"/>
  <c r="P310" i="1"/>
  <c r="O310" i="1"/>
  <c r="R309" i="1"/>
  <c r="Q309" i="1"/>
  <c r="P309" i="1"/>
  <c r="O309" i="1"/>
  <c r="R308" i="1"/>
  <c r="Q308" i="1"/>
  <c r="P308" i="1"/>
  <c r="O308" i="1"/>
  <c r="R307" i="1"/>
  <c r="Q307" i="1"/>
  <c r="P307" i="1"/>
  <c r="O307" i="1"/>
  <c r="R306" i="1"/>
  <c r="Q306" i="1"/>
  <c r="P306" i="1"/>
  <c r="O306" i="1"/>
  <c r="R305" i="1"/>
  <c r="Q305" i="1"/>
  <c r="P305" i="1"/>
  <c r="O305" i="1"/>
  <c r="R304" i="1"/>
  <c r="Q304" i="1"/>
  <c r="P304" i="1"/>
  <c r="O304" i="1"/>
  <c r="R303" i="1"/>
  <c r="Q303" i="1"/>
  <c r="P303" i="1"/>
  <c r="O303" i="1"/>
  <c r="R302" i="1"/>
  <c r="Q302" i="1"/>
  <c r="P302" i="1"/>
  <c r="O302" i="1"/>
  <c r="R301" i="1"/>
  <c r="Q301" i="1"/>
  <c r="P301" i="1"/>
  <c r="O301" i="1"/>
  <c r="R300" i="1"/>
  <c r="Q300" i="1"/>
  <c r="P300" i="1"/>
  <c r="O300" i="1"/>
  <c r="R299" i="1"/>
  <c r="Q299" i="1"/>
  <c r="P299" i="1"/>
  <c r="O299" i="1"/>
  <c r="R298" i="1"/>
  <c r="Q298" i="1"/>
  <c r="P298" i="1"/>
  <c r="O298" i="1"/>
  <c r="R297" i="1"/>
  <c r="Q297" i="1"/>
  <c r="P297" i="1"/>
  <c r="O297" i="1"/>
  <c r="R296" i="1"/>
  <c r="Q296" i="1"/>
  <c r="P296" i="1"/>
  <c r="O296" i="1"/>
  <c r="R295" i="1"/>
  <c r="Q295" i="1"/>
  <c r="P295" i="1"/>
  <c r="O295" i="1"/>
  <c r="R294" i="1"/>
  <c r="Q294" i="1"/>
  <c r="P294" i="1"/>
  <c r="O294" i="1"/>
  <c r="R293" i="1"/>
  <c r="Q293" i="1"/>
  <c r="P293" i="1"/>
  <c r="O293" i="1"/>
  <c r="R292" i="1"/>
  <c r="Q292" i="1"/>
  <c r="P292" i="1"/>
  <c r="O292" i="1"/>
  <c r="R291" i="1"/>
  <c r="Q291" i="1"/>
  <c r="P291" i="1"/>
  <c r="O291" i="1"/>
  <c r="R290" i="1"/>
  <c r="Q290" i="1"/>
  <c r="P290" i="1"/>
  <c r="O290" i="1"/>
  <c r="R289" i="1"/>
  <c r="Q289" i="1"/>
  <c r="P289" i="1"/>
  <c r="O289" i="1"/>
  <c r="R288" i="1"/>
  <c r="Q288" i="1"/>
  <c r="P288" i="1"/>
  <c r="O288" i="1"/>
  <c r="R287" i="1"/>
  <c r="Q287" i="1"/>
  <c r="P287" i="1"/>
  <c r="O287" i="1"/>
  <c r="R286" i="1"/>
  <c r="Q286" i="1"/>
  <c r="P286" i="1"/>
  <c r="O286" i="1"/>
  <c r="R285" i="1"/>
  <c r="Q285" i="1"/>
  <c r="P285" i="1"/>
  <c r="O285" i="1"/>
  <c r="R284" i="1"/>
  <c r="Q284" i="1"/>
  <c r="P284" i="1"/>
  <c r="O284" i="1"/>
  <c r="R283" i="1"/>
  <c r="Q283" i="1"/>
  <c r="P283" i="1"/>
  <c r="O283" i="1"/>
  <c r="R282" i="1"/>
  <c r="Q282" i="1"/>
  <c r="P282" i="1"/>
  <c r="O282" i="1"/>
  <c r="R281" i="1"/>
  <c r="Q281" i="1"/>
  <c r="P281" i="1"/>
  <c r="O281" i="1"/>
  <c r="R280" i="1"/>
  <c r="Q280" i="1"/>
  <c r="P280" i="1"/>
  <c r="O280" i="1"/>
  <c r="R279" i="1"/>
  <c r="Q279" i="1"/>
  <c r="P279" i="1"/>
  <c r="O279" i="1"/>
  <c r="R278" i="1"/>
  <c r="Q278" i="1"/>
  <c r="P278" i="1"/>
  <c r="O278" i="1"/>
  <c r="R277" i="1"/>
  <c r="Q277" i="1"/>
  <c r="P277" i="1"/>
  <c r="O277" i="1"/>
  <c r="R276" i="1"/>
  <c r="Q276" i="1"/>
  <c r="P276" i="1"/>
  <c r="O276" i="1"/>
  <c r="R275" i="1"/>
  <c r="Q275" i="1"/>
  <c r="P275" i="1"/>
  <c r="O275" i="1"/>
  <c r="R274" i="1"/>
  <c r="Q274" i="1"/>
  <c r="P274" i="1"/>
  <c r="O274" i="1"/>
  <c r="R273" i="1"/>
  <c r="Q273" i="1"/>
  <c r="P273" i="1"/>
  <c r="O273" i="1"/>
  <c r="R272" i="1"/>
  <c r="Q272" i="1"/>
  <c r="P272" i="1"/>
  <c r="O272" i="1"/>
  <c r="R271" i="1"/>
  <c r="Q271" i="1"/>
  <c r="P271" i="1"/>
  <c r="O271" i="1"/>
  <c r="R270" i="1"/>
  <c r="Q270" i="1"/>
  <c r="P270" i="1"/>
  <c r="O270" i="1"/>
  <c r="R269" i="1"/>
  <c r="Q269" i="1"/>
  <c r="P269" i="1"/>
  <c r="O269" i="1"/>
  <c r="R268" i="1"/>
  <c r="Q268" i="1"/>
  <c r="P268" i="1"/>
  <c r="O268" i="1"/>
  <c r="R267" i="1"/>
  <c r="Q267" i="1"/>
  <c r="P267" i="1"/>
  <c r="O267" i="1"/>
  <c r="R266" i="1"/>
  <c r="Q266" i="1"/>
  <c r="P266" i="1"/>
  <c r="O266" i="1"/>
  <c r="R265" i="1"/>
  <c r="Q265" i="1"/>
  <c r="P265" i="1"/>
  <c r="O265" i="1"/>
  <c r="R264" i="1"/>
  <c r="Q264" i="1"/>
  <c r="P264" i="1"/>
  <c r="O264" i="1"/>
  <c r="R263" i="1"/>
  <c r="Q263" i="1"/>
  <c r="P263" i="1"/>
  <c r="O263" i="1"/>
  <c r="R262" i="1"/>
  <c r="Q262" i="1"/>
  <c r="P262" i="1"/>
  <c r="O262" i="1"/>
  <c r="R261" i="1"/>
  <c r="Q261" i="1"/>
  <c r="P261" i="1"/>
  <c r="O261" i="1"/>
  <c r="R260" i="1"/>
  <c r="Q260" i="1"/>
  <c r="P260" i="1"/>
  <c r="O260" i="1"/>
  <c r="R259" i="1"/>
  <c r="Q259" i="1"/>
  <c r="P259" i="1"/>
  <c r="O259" i="1"/>
  <c r="R258" i="1"/>
  <c r="Q258" i="1"/>
  <c r="P258" i="1"/>
  <c r="O258" i="1"/>
  <c r="R257" i="1"/>
  <c r="Q257" i="1"/>
  <c r="P257" i="1"/>
  <c r="O257" i="1"/>
  <c r="R256" i="1"/>
  <c r="Q256" i="1"/>
  <c r="P256" i="1"/>
  <c r="O256" i="1"/>
  <c r="R255" i="1"/>
  <c r="Q255" i="1"/>
  <c r="P255" i="1"/>
  <c r="O255" i="1"/>
  <c r="R254" i="1"/>
  <c r="Q254" i="1"/>
  <c r="P254" i="1"/>
  <c r="O254" i="1"/>
  <c r="R253" i="1"/>
  <c r="Q253" i="1"/>
  <c r="P253" i="1"/>
  <c r="O253" i="1"/>
  <c r="R252" i="1"/>
  <c r="Q252" i="1"/>
  <c r="P252" i="1"/>
  <c r="O252" i="1"/>
  <c r="R251" i="1"/>
  <c r="Q251" i="1"/>
  <c r="P251" i="1"/>
  <c r="O251" i="1"/>
  <c r="R250" i="1"/>
  <c r="Q250" i="1"/>
  <c r="P250" i="1"/>
  <c r="O250" i="1"/>
  <c r="R249" i="1"/>
  <c r="Q249" i="1"/>
  <c r="P249" i="1"/>
  <c r="O249" i="1"/>
  <c r="R248" i="1"/>
  <c r="Q248" i="1"/>
  <c r="P248" i="1"/>
  <c r="O248" i="1"/>
  <c r="R247" i="1"/>
  <c r="Q247" i="1"/>
  <c r="P247" i="1"/>
  <c r="O247" i="1"/>
  <c r="R246" i="1"/>
  <c r="Q246" i="1"/>
  <c r="P246" i="1"/>
  <c r="O246" i="1"/>
  <c r="R245" i="1"/>
  <c r="Q245" i="1"/>
  <c r="P245" i="1"/>
  <c r="O245" i="1"/>
  <c r="R244" i="1"/>
  <c r="Q244" i="1"/>
  <c r="P244" i="1"/>
  <c r="O244" i="1"/>
  <c r="R243" i="1"/>
  <c r="Q243" i="1"/>
  <c r="P243" i="1"/>
  <c r="O243" i="1"/>
  <c r="R242" i="1"/>
  <c r="Q242" i="1"/>
  <c r="P242" i="1"/>
  <c r="O242" i="1"/>
  <c r="R241" i="1"/>
  <c r="Q241" i="1"/>
  <c r="P241" i="1"/>
  <c r="O241" i="1"/>
  <c r="R240" i="1"/>
  <c r="Q240" i="1"/>
  <c r="P240" i="1"/>
  <c r="O240" i="1"/>
  <c r="R239" i="1"/>
  <c r="Q239" i="1"/>
  <c r="P239" i="1"/>
  <c r="O239" i="1"/>
  <c r="R238" i="1"/>
  <c r="Q238" i="1"/>
  <c r="P238" i="1"/>
  <c r="O238" i="1"/>
  <c r="R237" i="1"/>
  <c r="Q237" i="1"/>
  <c r="P237" i="1"/>
  <c r="O237" i="1"/>
  <c r="R236" i="1"/>
  <c r="Q236" i="1"/>
  <c r="P236" i="1"/>
  <c r="O236" i="1"/>
  <c r="R235" i="1"/>
  <c r="Q235" i="1"/>
  <c r="P235" i="1"/>
  <c r="O235" i="1"/>
  <c r="R234" i="1"/>
  <c r="Q234" i="1"/>
  <c r="P234" i="1"/>
  <c r="O234" i="1"/>
  <c r="R233" i="1"/>
  <c r="Q233" i="1"/>
  <c r="P233" i="1"/>
  <c r="O233" i="1"/>
  <c r="R232" i="1"/>
  <c r="Q232" i="1"/>
  <c r="P232" i="1"/>
  <c r="O232" i="1"/>
  <c r="R231" i="1"/>
  <c r="Q231" i="1"/>
  <c r="P231" i="1"/>
  <c r="O231" i="1"/>
  <c r="R230" i="1"/>
  <c r="Q230" i="1"/>
  <c r="P230" i="1"/>
  <c r="O230" i="1"/>
  <c r="R229" i="1"/>
  <c r="Q229" i="1"/>
  <c r="P229" i="1"/>
  <c r="O229" i="1"/>
  <c r="R228" i="1"/>
  <c r="Q228" i="1"/>
  <c r="P228" i="1"/>
  <c r="O228" i="1"/>
  <c r="R227" i="1"/>
  <c r="Q227" i="1"/>
  <c r="P227" i="1"/>
  <c r="O227" i="1"/>
  <c r="R226" i="1"/>
  <c r="Q226" i="1"/>
  <c r="P226" i="1"/>
  <c r="O226" i="1"/>
  <c r="R225" i="1"/>
  <c r="Q225" i="1"/>
  <c r="P225" i="1"/>
  <c r="O225" i="1"/>
  <c r="R224" i="1"/>
  <c r="Q224" i="1"/>
  <c r="P224" i="1"/>
  <c r="O224" i="1"/>
  <c r="R223" i="1"/>
  <c r="Q223" i="1"/>
  <c r="P223" i="1"/>
  <c r="O223" i="1"/>
  <c r="R222" i="1"/>
  <c r="Q222" i="1"/>
  <c r="P222" i="1"/>
  <c r="O222" i="1"/>
  <c r="R221" i="1"/>
  <c r="Q221" i="1"/>
  <c r="P221" i="1"/>
  <c r="O221" i="1"/>
  <c r="R220" i="1"/>
  <c r="Q220" i="1"/>
  <c r="P220" i="1"/>
  <c r="O220" i="1"/>
  <c r="R219" i="1"/>
  <c r="Q219" i="1"/>
  <c r="P219" i="1"/>
  <c r="O219" i="1"/>
  <c r="R218" i="1"/>
  <c r="Q218" i="1"/>
  <c r="P218" i="1"/>
  <c r="O218" i="1"/>
  <c r="R217" i="1"/>
  <c r="Q217" i="1"/>
  <c r="P217" i="1"/>
  <c r="O217" i="1"/>
  <c r="R216" i="1"/>
  <c r="Q216" i="1"/>
  <c r="P216" i="1"/>
  <c r="O216" i="1"/>
  <c r="R215" i="1"/>
  <c r="Q215" i="1"/>
  <c r="P215" i="1"/>
  <c r="O215" i="1"/>
  <c r="R214" i="1"/>
  <c r="Q214" i="1"/>
  <c r="P214" i="1"/>
  <c r="O214" i="1"/>
  <c r="R213" i="1"/>
  <c r="Q213" i="1"/>
  <c r="P213" i="1"/>
  <c r="O213" i="1"/>
  <c r="R212" i="1"/>
  <c r="Q212" i="1"/>
  <c r="P212" i="1"/>
  <c r="O212" i="1"/>
  <c r="R211" i="1"/>
  <c r="Q211" i="1"/>
  <c r="P211" i="1"/>
  <c r="O211" i="1"/>
  <c r="R210" i="1"/>
  <c r="Q210" i="1"/>
  <c r="P210" i="1"/>
  <c r="O210" i="1"/>
  <c r="R209" i="1"/>
  <c r="Q209" i="1"/>
  <c r="P209" i="1"/>
  <c r="O209" i="1"/>
  <c r="R208" i="1"/>
  <c r="Q208" i="1"/>
  <c r="P208" i="1"/>
  <c r="O208" i="1"/>
  <c r="R207" i="1"/>
  <c r="Q207" i="1"/>
  <c r="P207" i="1"/>
  <c r="O207" i="1"/>
  <c r="R206" i="1"/>
  <c r="Q206" i="1"/>
  <c r="P206" i="1"/>
  <c r="O206" i="1"/>
  <c r="R205" i="1"/>
  <c r="Q205" i="1"/>
  <c r="P205" i="1"/>
  <c r="O205" i="1"/>
  <c r="R204" i="1"/>
  <c r="Q204" i="1"/>
  <c r="P204" i="1"/>
  <c r="O204" i="1"/>
  <c r="R203" i="1"/>
  <c r="Q203" i="1"/>
  <c r="P203" i="1"/>
  <c r="O203" i="1"/>
  <c r="R202" i="1"/>
  <c r="Q202" i="1"/>
  <c r="P202" i="1"/>
  <c r="O202" i="1"/>
  <c r="R201" i="1"/>
  <c r="Q201" i="1"/>
  <c r="P201" i="1"/>
  <c r="O201" i="1"/>
  <c r="R200" i="1"/>
  <c r="Q200" i="1"/>
  <c r="P200" i="1"/>
  <c r="O200" i="1"/>
  <c r="R199" i="1"/>
  <c r="Q199" i="1"/>
  <c r="P199" i="1"/>
  <c r="O199" i="1"/>
  <c r="R198" i="1"/>
  <c r="Q198" i="1"/>
  <c r="P198" i="1"/>
  <c r="O198" i="1"/>
  <c r="R197" i="1"/>
  <c r="Q197" i="1"/>
  <c r="P197" i="1"/>
  <c r="O197" i="1"/>
  <c r="R196" i="1"/>
  <c r="Q196" i="1"/>
  <c r="P196" i="1"/>
  <c r="O196" i="1"/>
  <c r="R195" i="1"/>
  <c r="Q195" i="1"/>
  <c r="P195" i="1"/>
  <c r="O195" i="1"/>
  <c r="R194" i="1"/>
  <c r="Q194" i="1"/>
  <c r="P194" i="1"/>
  <c r="O194" i="1"/>
  <c r="R193" i="1"/>
  <c r="Q193" i="1"/>
  <c r="P193" i="1"/>
  <c r="O193" i="1"/>
  <c r="R192" i="1"/>
  <c r="Q192" i="1"/>
  <c r="P192" i="1"/>
  <c r="O192" i="1"/>
  <c r="R191" i="1"/>
  <c r="Q191" i="1"/>
  <c r="P191" i="1"/>
  <c r="O191" i="1"/>
  <c r="R190" i="1"/>
  <c r="Q190" i="1"/>
  <c r="P190" i="1"/>
  <c r="O190" i="1"/>
  <c r="R189" i="1"/>
  <c r="Q189" i="1"/>
  <c r="P189" i="1"/>
  <c r="O189" i="1"/>
  <c r="R188" i="1"/>
  <c r="Q188" i="1"/>
  <c r="P188" i="1"/>
  <c r="O188" i="1"/>
  <c r="R187" i="1"/>
  <c r="Q187" i="1"/>
  <c r="P187" i="1"/>
  <c r="O187" i="1"/>
  <c r="R186" i="1"/>
  <c r="Q186" i="1"/>
  <c r="P186" i="1"/>
  <c r="O186" i="1"/>
  <c r="R185" i="1"/>
  <c r="Q185" i="1"/>
  <c r="P185" i="1"/>
  <c r="O185" i="1"/>
  <c r="R184" i="1"/>
  <c r="Q184" i="1"/>
  <c r="P184" i="1"/>
  <c r="O184" i="1"/>
  <c r="R183" i="1"/>
  <c r="Q183" i="1"/>
  <c r="P183" i="1"/>
  <c r="O183" i="1"/>
  <c r="R182" i="1"/>
  <c r="Q182" i="1"/>
  <c r="P182" i="1"/>
  <c r="O182" i="1"/>
  <c r="R181" i="1"/>
  <c r="Q181" i="1"/>
  <c r="P181" i="1"/>
  <c r="O181" i="1"/>
  <c r="R180" i="1"/>
  <c r="Q180" i="1"/>
  <c r="P180" i="1"/>
  <c r="O180" i="1"/>
  <c r="R179" i="1"/>
  <c r="Q179" i="1"/>
  <c r="P179" i="1"/>
  <c r="O179" i="1"/>
  <c r="R178" i="1"/>
  <c r="Q178" i="1"/>
  <c r="P178" i="1"/>
  <c r="O178" i="1"/>
  <c r="R177" i="1"/>
  <c r="Q177" i="1"/>
  <c r="P177" i="1"/>
  <c r="O177" i="1"/>
  <c r="R176" i="1"/>
  <c r="Q176" i="1"/>
  <c r="P176" i="1"/>
  <c r="O176" i="1"/>
  <c r="R175" i="1"/>
  <c r="Q175" i="1"/>
  <c r="P175" i="1"/>
  <c r="O175" i="1"/>
  <c r="R174" i="1"/>
  <c r="Q174" i="1"/>
  <c r="P174" i="1"/>
  <c r="O174" i="1"/>
  <c r="R173" i="1"/>
  <c r="Q173" i="1"/>
  <c r="P173" i="1"/>
  <c r="O173" i="1"/>
  <c r="R172" i="1"/>
  <c r="Q172" i="1"/>
  <c r="P172" i="1"/>
  <c r="O172" i="1"/>
  <c r="R171" i="1"/>
  <c r="Q171" i="1"/>
  <c r="P171" i="1"/>
  <c r="O171" i="1"/>
  <c r="R170" i="1"/>
  <c r="Q170" i="1"/>
  <c r="P170" i="1"/>
  <c r="O170" i="1"/>
  <c r="R169" i="1"/>
  <c r="Q169" i="1"/>
  <c r="P169" i="1"/>
  <c r="O169" i="1"/>
  <c r="R168" i="1"/>
  <c r="Q168" i="1"/>
  <c r="P168" i="1"/>
  <c r="O168" i="1"/>
  <c r="R167" i="1"/>
  <c r="Q167" i="1"/>
  <c r="P167" i="1"/>
  <c r="O167" i="1"/>
  <c r="R166" i="1"/>
  <c r="Q166" i="1"/>
  <c r="P166" i="1"/>
  <c r="O166" i="1"/>
  <c r="R165" i="1"/>
  <c r="Q165" i="1"/>
  <c r="P165" i="1"/>
  <c r="O165" i="1"/>
  <c r="R164" i="1"/>
  <c r="Q164" i="1"/>
  <c r="P164" i="1"/>
  <c r="O164" i="1"/>
  <c r="R163" i="1"/>
  <c r="Q163" i="1"/>
  <c r="P163" i="1"/>
  <c r="O163" i="1"/>
  <c r="R162" i="1"/>
  <c r="Q162" i="1"/>
  <c r="P162" i="1"/>
  <c r="O162" i="1"/>
  <c r="R161" i="1"/>
  <c r="Q161" i="1"/>
  <c r="P161" i="1"/>
  <c r="O161" i="1"/>
  <c r="R160" i="1"/>
  <c r="Q160" i="1"/>
  <c r="P160" i="1"/>
  <c r="O160" i="1"/>
  <c r="R159" i="1"/>
  <c r="Q159" i="1"/>
  <c r="P159" i="1"/>
  <c r="O159" i="1"/>
  <c r="R158" i="1"/>
  <c r="Q158" i="1"/>
  <c r="P158" i="1"/>
  <c r="O158" i="1"/>
  <c r="R157" i="1"/>
  <c r="Q157" i="1"/>
  <c r="P157" i="1"/>
  <c r="O157" i="1"/>
  <c r="R156" i="1"/>
  <c r="Q156" i="1"/>
  <c r="P156" i="1"/>
  <c r="O156" i="1"/>
  <c r="R155" i="1"/>
  <c r="Q155" i="1"/>
  <c r="P155" i="1"/>
  <c r="O155" i="1"/>
  <c r="R154" i="1"/>
  <c r="Q154" i="1"/>
  <c r="P154" i="1"/>
  <c r="O154" i="1"/>
  <c r="R153" i="1"/>
  <c r="Q153" i="1"/>
  <c r="P153" i="1"/>
  <c r="O153" i="1"/>
  <c r="R152" i="1"/>
  <c r="Q152" i="1"/>
  <c r="P152" i="1"/>
  <c r="O152" i="1"/>
  <c r="R151" i="1"/>
  <c r="Q151" i="1"/>
  <c r="P151" i="1"/>
  <c r="O151" i="1"/>
  <c r="R150" i="1"/>
  <c r="Q150" i="1"/>
  <c r="P150" i="1"/>
  <c r="O150" i="1"/>
  <c r="R149" i="1"/>
  <c r="Q149" i="1"/>
  <c r="P149" i="1"/>
  <c r="O149" i="1"/>
  <c r="R148" i="1"/>
  <c r="Q148" i="1"/>
  <c r="P148" i="1"/>
  <c r="O148" i="1"/>
  <c r="R147" i="1"/>
  <c r="Q147" i="1"/>
  <c r="P147" i="1"/>
  <c r="O147" i="1"/>
  <c r="R146" i="1"/>
  <c r="Q146" i="1"/>
  <c r="P146" i="1"/>
  <c r="O146" i="1"/>
  <c r="R145" i="1"/>
  <c r="Q145" i="1"/>
  <c r="P145" i="1"/>
  <c r="O145" i="1"/>
  <c r="R144" i="1"/>
  <c r="Q144" i="1"/>
  <c r="P144" i="1"/>
  <c r="O144" i="1"/>
  <c r="R143" i="1"/>
  <c r="Q143" i="1"/>
  <c r="P143" i="1"/>
  <c r="O143" i="1"/>
  <c r="R142" i="1"/>
  <c r="Q142" i="1"/>
  <c r="P142" i="1"/>
  <c r="O142" i="1"/>
  <c r="R141" i="1"/>
  <c r="Q141" i="1"/>
  <c r="P141" i="1"/>
  <c r="O141" i="1"/>
  <c r="R140" i="1"/>
  <c r="Q140" i="1"/>
  <c r="P140" i="1"/>
  <c r="O140" i="1"/>
  <c r="R139" i="1"/>
  <c r="Q139" i="1"/>
  <c r="P139" i="1"/>
  <c r="O139" i="1"/>
  <c r="R138" i="1"/>
  <c r="Q138" i="1"/>
  <c r="P138" i="1"/>
  <c r="O138" i="1"/>
  <c r="R137" i="1"/>
  <c r="Q137" i="1"/>
  <c r="P137" i="1"/>
  <c r="O137" i="1"/>
  <c r="R136" i="1"/>
  <c r="Q136" i="1"/>
  <c r="P136" i="1"/>
  <c r="O136" i="1"/>
  <c r="R135" i="1"/>
  <c r="Q135" i="1"/>
  <c r="P135" i="1"/>
  <c r="O135" i="1"/>
  <c r="R134" i="1"/>
  <c r="Q134" i="1"/>
  <c r="P134" i="1"/>
  <c r="O134" i="1"/>
  <c r="R133" i="1"/>
  <c r="Q133" i="1"/>
  <c r="P133" i="1"/>
  <c r="O133" i="1"/>
  <c r="R132" i="1"/>
  <c r="Q132" i="1"/>
  <c r="P132" i="1"/>
  <c r="O132" i="1"/>
  <c r="R131" i="1"/>
  <c r="Q131" i="1"/>
  <c r="P131" i="1"/>
  <c r="O131" i="1"/>
  <c r="R130" i="1"/>
  <c r="Q130" i="1"/>
  <c r="P130" i="1"/>
  <c r="O130" i="1"/>
  <c r="R129" i="1"/>
  <c r="Q129" i="1"/>
  <c r="P129" i="1"/>
  <c r="O129" i="1"/>
  <c r="R128" i="1"/>
  <c r="Q128" i="1"/>
  <c r="P128" i="1"/>
  <c r="O128" i="1"/>
  <c r="R127" i="1"/>
  <c r="Q127" i="1"/>
  <c r="P127" i="1"/>
  <c r="O127" i="1"/>
  <c r="R126" i="1"/>
  <c r="Q126" i="1"/>
  <c r="P126" i="1"/>
  <c r="O126" i="1"/>
  <c r="R125" i="1"/>
  <c r="Q125" i="1"/>
  <c r="P125" i="1"/>
  <c r="O125" i="1"/>
  <c r="R124" i="1"/>
  <c r="Q124" i="1"/>
  <c r="P124" i="1"/>
  <c r="O124" i="1"/>
  <c r="R123" i="1"/>
  <c r="Q123" i="1"/>
  <c r="P123" i="1"/>
  <c r="O123" i="1"/>
  <c r="R122" i="1"/>
  <c r="Q122" i="1"/>
  <c r="P122" i="1"/>
  <c r="O122" i="1"/>
  <c r="R121" i="1"/>
  <c r="Q121" i="1"/>
  <c r="P121" i="1"/>
  <c r="O121" i="1"/>
  <c r="R120" i="1"/>
  <c r="Q120" i="1"/>
  <c r="P120" i="1"/>
  <c r="O120" i="1"/>
  <c r="R119" i="1"/>
  <c r="Q119" i="1"/>
  <c r="P119" i="1"/>
  <c r="O119" i="1"/>
  <c r="R118" i="1"/>
  <c r="Q118" i="1"/>
  <c r="P118" i="1"/>
  <c r="O118" i="1"/>
  <c r="R117" i="1"/>
  <c r="Q117" i="1"/>
  <c r="P117" i="1"/>
  <c r="O117" i="1"/>
  <c r="R116" i="1"/>
  <c r="Q116" i="1"/>
  <c r="P116" i="1"/>
  <c r="O116" i="1"/>
  <c r="R115" i="1"/>
  <c r="Q115" i="1"/>
  <c r="P115" i="1"/>
  <c r="O115" i="1"/>
  <c r="R114" i="1"/>
  <c r="Q114" i="1"/>
  <c r="P114" i="1"/>
  <c r="O114" i="1"/>
  <c r="R113" i="1"/>
  <c r="Q113" i="1"/>
  <c r="P113" i="1"/>
  <c r="O113" i="1"/>
  <c r="R112" i="1"/>
  <c r="Q112" i="1"/>
  <c r="P112" i="1"/>
  <c r="O112" i="1"/>
  <c r="R111" i="1"/>
  <c r="Q111" i="1"/>
  <c r="P111" i="1"/>
  <c r="O111" i="1"/>
  <c r="R110" i="1"/>
  <c r="Q110" i="1"/>
  <c r="P110" i="1"/>
  <c r="O110" i="1"/>
  <c r="R109" i="1"/>
  <c r="Q109" i="1"/>
  <c r="P109" i="1"/>
  <c r="O109" i="1"/>
  <c r="R108" i="1"/>
  <c r="Q108" i="1"/>
  <c r="P108" i="1"/>
  <c r="O108" i="1"/>
  <c r="R107" i="1"/>
  <c r="Q107" i="1"/>
  <c r="P107" i="1"/>
  <c r="O107" i="1"/>
  <c r="R106" i="1"/>
  <c r="Q106" i="1"/>
  <c r="P106" i="1"/>
  <c r="O106" i="1"/>
  <c r="R105" i="1"/>
  <c r="Q105" i="1"/>
  <c r="P105" i="1"/>
  <c r="O105" i="1"/>
  <c r="R104" i="1"/>
  <c r="Q104" i="1"/>
  <c r="P104" i="1"/>
  <c r="O104" i="1"/>
  <c r="R103" i="1"/>
  <c r="Q103" i="1"/>
  <c r="P103" i="1"/>
  <c r="O103" i="1"/>
  <c r="R102" i="1"/>
  <c r="Q102" i="1"/>
  <c r="P102" i="1"/>
  <c r="O102" i="1"/>
  <c r="R101" i="1"/>
  <c r="Q101" i="1"/>
  <c r="P101" i="1"/>
  <c r="O101" i="1"/>
  <c r="R100" i="1"/>
  <c r="Q100" i="1"/>
  <c r="P100" i="1"/>
  <c r="O100" i="1"/>
  <c r="R99" i="1"/>
  <c r="Q99" i="1"/>
  <c r="P99" i="1"/>
  <c r="O99" i="1"/>
  <c r="R98" i="1"/>
  <c r="Q98" i="1"/>
  <c r="P98" i="1"/>
  <c r="O98" i="1"/>
  <c r="R97" i="1"/>
  <c r="Q97" i="1"/>
  <c r="P97" i="1"/>
  <c r="O97" i="1"/>
  <c r="R96" i="1"/>
  <c r="Q96" i="1"/>
  <c r="P96" i="1"/>
  <c r="O96" i="1"/>
  <c r="R95" i="1"/>
  <c r="Q95" i="1"/>
  <c r="P95" i="1"/>
  <c r="O95" i="1"/>
  <c r="R94" i="1"/>
  <c r="Q94" i="1"/>
  <c r="P94" i="1"/>
  <c r="O94" i="1"/>
  <c r="R93" i="1"/>
  <c r="Q93" i="1"/>
  <c r="P93" i="1"/>
  <c r="O93" i="1"/>
  <c r="R92" i="1"/>
  <c r="Q92" i="1"/>
  <c r="P92" i="1"/>
  <c r="O92" i="1"/>
  <c r="R91" i="1"/>
  <c r="Q91" i="1"/>
  <c r="P91" i="1"/>
  <c r="O91" i="1"/>
  <c r="R90" i="1"/>
  <c r="Q90" i="1"/>
  <c r="P90" i="1"/>
  <c r="O90" i="1"/>
  <c r="R89" i="1"/>
  <c r="Q89" i="1"/>
  <c r="P89" i="1"/>
  <c r="O89" i="1"/>
  <c r="R88" i="1"/>
  <c r="Q88" i="1"/>
  <c r="P88" i="1"/>
  <c r="O88" i="1"/>
  <c r="R87" i="1"/>
  <c r="Q87" i="1"/>
  <c r="P87" i="1"/>
  <c r="O87" i="1"/>
  <c r="R86" i="1"/>
  <c r="Q86" i="1"/>
  <c r="P86" i="1"/>
  <c r="O86" i="1"/>
  <c r="R85" i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80" i="1"/>
  <c r="Q80" i="1"/>
  <c r="P80" i="1"/>
  <c r="O80" i="1"/>
  <c r="R79" i="1"/>
  <c r="Q79" i="1"/>
  <c r="P79" i="1"/>
  <c r="O79" i="1"/>
  <c r="R78" i="1"/>
  <c r="Q78" i="1"/>
  <c r="P78" i="1"/>
  <c r="O78" i="1"/>
  <c r="R77" i="1"/>
  <c r="Q77" i="1"/>
  <c r="P77" i="1"/>
  <c r="O77" i="1"/>
  <c r="R76" i="1"/>
  <c r="Q76" i="1"/>
  <c r="P76" i="1"/>
  <c r="O76" i="1"/>
  <c r="R75" i="1"/>
  <c r="Q75" i="1"/>
  <c r="P75" i="1"/>
  <c r="O75" i="1"/>
  <c r="R74" i="1"/>
  <c r="Q74" i="1"/>
  <c r="P74" i="1"/>
  <c r="O74" i="1"/>
  <c r="R73" i="1"/>
  <c r="Q73" i="1"/>
  <c r="P73" i="1"/>
  <c r="O73" i="1"/>
  <c r="R72" i="1"/>
  <c r="Q72" i="1"/>
  <c r="P72" i="1"/>
  <c r="O72" i="1"/>
  <c r="R71" i="1"/>
  <c r="Q71" i="1"/>
  <c r="P71" i="1"/>
  <c r="O71" i="1"/>
  <c r="R70" i="1"/>
  <c r="Q70" i="1"/>
  <c r="P70" i="1"/>
  <c r="O70" i="1"/>
  <c r="R69" i="1"/>
  <c r="Q69" i="1"/>
  <c r="P69" i="1"/>
  <c r="O69" i="1"/>
  <c r="R68" i="1"/>
  <c r="Q68" i="1"/>
  <c r="P68" i="1"/>
  <c r="O68" i="1"/>
  <c r="R67" i="1"/>
  <c r="Q67" i="1"/>
  <c r="P67" i="1"/>
  <c r="O67" i="1"/>
  <c r="R66" i="1"/>
  <c r="Q66" i="1"/>
  <c r="P66" i="1"/>
  <c r="O66" i="1"/>
  <c r="R65" i="1"/>
  <c r="Q65" i="1"/>
  <c r="P65" i="1"/>
  <c r="O65" i="1"/>
  <c r="R64" i="1"/>
  <c r="Q64" i="1"/>
  <c r="P64" i="1"/>
  <c r="O64" i="1"/>
  <c r="R63" i="1"/>
  <c r="Q63" i="1"/>
  <c r="P63" i="1"/>
  <c r="O63" i="1"/>
  <c r="R62" i="1"/>
  <c r="Q62" i="1"/>
  <c r="P62" i="1"/>
  <c r="O62" i="1"/>
  <c r="R61" i="1"/>
  <c r="Q61" i="1"/>
  <c r="P61" i="1"/>
  <c r="O61" i="1"/>
  <c r="R60" i="1"/>
  <c r="Q60" i="1"/>
  <c r="P60" i="1"/>
  <c r="O60" i="1"/>
  <c r="R59" i="1"/>
  <c r="Q59" i="1"/>
  <c r="P59" i="1"/>
  <c r="O59" i="1"/>
  <c r="R58" i="1"/>
  <c r="Q58" i="1"/>
  <c r="P58" i="1"/>
  <c r="O58" i="1"/>
  <c r="R57" i="1"/>
  <c r="Q57" i="1"/>
  <c r="P57" i="1"/>
  <c r="O57" i="1"/>
  <c r="R56" i="1"/>
  <c r="Q56" i="1"/>
  <c r="P56" i="1"/>
  <c r="O56" i="1"/>
  <c r="R55" i="1"/>
  <c r="Q55" i="1"/>
  <c r="P55" i="1"/>
  <c r="O55" i="1"/>
  <c r="R54" i="1"/>
  <c r="Q54" i="1"/>
  <c r="P54" i="1"/>
  <c r="O54" i="1"/>
  <c r="R53" i="1"/>
  <c r="Q53" i="1"/>
  <c r="P53" i="1"/>
  <c r="O53" i="1"/>
  <c r="R52" i="1"/>
  <c r="Q52" i="1"/>
  <c r="P52" i="1"/>
  <c r="O52" i="1"/>
  <c r="R51" i="1"/>
  <c r="Q51" i="1"/>
  <c r="P51" i="1"/>
  <c r="O51" i="1"/>
  <c r="R50" i="1"/>
  <c r="Q50" i="1"/>
  <c r="P50" i="1"/>
  <c r="O50" i="1"/>
  <c r="R49" i="1"/>
  <c r="Q49" i="1"/>
  <c r="P49" i="1"/>
  <c r="O49" i="1"/>
  <c r="R48" i="1"/>
  <c r="Q48" i="1"/>
  <c r="P48" i="1"/>
  <c r="O48" i="1"/>
  <c r="R47" i="1"/>
  <c r="Q47" i="1"/>
  <c r="P47" i="1"/>
  <c r="O47" i="1"/>
  <c r="R46" i="1"/>
  <c r="Q46" i="1"/>
  <c r="P46" i="1"/>
  <c r="O46" i="1"/>
  <c r="R45" i="1"/>
  <c r="Q45" i="1"/>
  <c r="P45" i="1"/>
  <c r="O45" i="1"/>
  <c r="R44" i="1"/>
  <c r="Q44" i="1"/>
  <c r="P44" i="1"/>
  <c r="O44" i="1"/>
  <c r="R43" i="1"/>
  <c r="Q43" i="1"/>
  <c r="P43" i="1"/>
  <c r="O43" i="1"/>
  <c r="R42" i="1"/>
  <c r="Q42" i="1"/>
  <c r="P42" i="1"/>
  <c r="O42" i="1"/>
  <c r="R41" i="1"/>
  <c r="Q41" i="1"/>
  <c r="P41" i="1"/>
  <c r="O41" i="1"/>
  <c r="R40" i="1"/>
  <c r="Q40" i="1"/>
  <c r="P40" i="1"/>
  <c r="O40" i="1"/>
  <c r="R39" i="1"/>
  <c r="Q39" i="1"/>
  <c r="P39" i="1"/>
  <c r="O39" i="1"/>
  <c r="R38" i="1"/>
  <c r="Q38" i="1"/>
  <c r="P38" i="1"/>
  <c r="O38" i="1"/>
  <c r="R37" i="1"/>
  <c r="Q37" i="1"/>
  <c r="P37" i="1"/>
  <c r="O37" i="1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R22" i="1"/>
  <c r="Q22" i="1"/>
  <c r="P22" i="1"/>
  <c r="O22" i="1"/>
  <c r="R21" i="1"/>
  <c r="Q21" i="1"/>
  <c r="P21" i="1"/>
  <c r="O21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R3" i="1"/>
  <c r="Q3" i="1"/>
  <c r="P3" i="1"/>
  <c r="O3" i="1"/>
  <c r="R2" i="1"/>
  <c r="Q2" i="1"/>
  <c r="P2" i="1"/>
  <c r="O2" i="1"/>
</calcChain>
</file>

<file path=xl/sharedStrings.xml><?xml version="1.0" encoding="utf-8"?>
<sst xmlns="http://schemas.openxmlformats.org/spreadsheetml/2006/main" count="11130" uniqueCount="2052">
  <si>
    <t>Session ID</t>
  </si>
  <si>
    <t>Player ID</t>
  </si>
  <si>
    <t>Player Name</t>
  </si>
  <si>
    <t>Game Name</t>
  </si>
  <si>
    <t>Platform</t>
  </si>
  <si>
    <t>Region</t>
  </si>
  <si>
    <t>Session Date</t>
  </si>
  <si>
    <t>Session Duration (min)</t>
  </si>
  <si>
    <t>In-Game Purchase ($)</t>
  </si>
  <si>
    <t>Purchase Type</t>
  </si>
  <si>
    <t>Session Status</t>
  </si>
  <si>
    <t>Player Type</t>
  </si>
  <si>
    <t>Level Reached</t>
  </si>
  <si>
    <t>Is Suspicious</t>
  </si>
  <si>
    <t>Year-Month</t>
  </si>
  <si>
    <t xml:space="preserve"> Engagement Level</t>
  </si>
  <si>
    <t xml:space="preserve"> Made Purchase</t>
  </si>
  <si>
    <t>Suspicious Flag</t>
  </si>
  <si>
    <t>S00002</t>
  </si>
  <si>
    <t>P9981</t>
  </si>
  <si>
    <t>Wlee</t>
  </si>
  <si>
    <t>Zombie Rush</t>
  </si>
  <si>
    <t>Mobile</t>
  </si>
  <si>
    <t>Central</t>
  </si>
  <si>
    <t>Boosters</t>
  </si>
  <si>
    <t>Completed</t>
  </si>
  <si>
    <t>Paid</t>
  </si>
  <si>
    <t>No</t>
  </si>
  <si>
    <t>2024-12</t>
  </si>
  <si>
    <t>High</t>
  </si>
  <si>
    <t>Yes</t>
  </si>
  <si>
    <t>S00052</t>
  </si>
  <si>
    <t>P8266</t>
  </si>
  <si>
    <t>Cynthiapoole</t>
  </si>
  <si>
    <t>PC</t>
  </si>
  <si>
    <t>East</t>
  </si>
  <si>
    <t>None</t>
  </si>
  <si>
    <t>Free</t>
  </si>
  <si>
    <t>S00467</t>
  </si>
  <si>
    <t>P3228</t>
  </si>
  <si>
    <t>Mlewis</t>
  </si>
  <si>
    <t>Clash of Realms</t>
  </si>
  <si>
    <t>Console</t>
  </si>
  <si>
    <t>North-East</t>
  </si>
  <si>
    <t>Battle Pass</t>
  </si>
  <si>
    <t>Crashed</t>
  </si>
  <si>
    <t>S00457</t>
  </si>
  <si>
    <t>P5820</t>
  </si>
  <si>
    <t>Lindagalloway</t>
  </si>
  <si>
    <t>Empire Wars</t>
  </si>
  <si>
    <t>S00089</t>
  </si>
  <si>
    <t>P5536</t>
  </si>
  <si>
    <t>Manderson</t>
  </si>
  <si>
    <t>Incomplete</t>
  </si>
  <si>
    <t>S00093</t>
  </si>
  <si>
    <t>P5817</t>
  </si>
  <si>
    <t>Cynthiasimmons</t>
  </si>
  <si>
    <t>BattleZone</t>
  </si>
  <si>
    <t>North</t>
  </si>
  <si>
    <t>S00098</t>
  </si>
  <si>
    <t>P8252</t>
  </si>
  <si>
    <t>Riggsbarbara</t>
  </si>
  <si>
    <t>SpeedX</t>
  </si>
  <si>
    <t>S00447</t>
  </si>
  <si>
    <t>P1920</t>
  </si>
  <si>
    <t>Fsteele</t>
  </si>
  <si>
    <t>Exited Early</t>
  </si>
  <si>
    <t>S00111</t>
  </si>
  <si>
    <t>P1583</t>
  </si>
  <si>
    <t>Heatherpayne</t>
  </si>
  <si>
    <t>S00445</t>
  </si>
  <si>
    <t>P6434</t>
  </si>
  <si>
    <t>Caitlinmiller</t>
  </si>
  <si>
    <t>West</t>
  </si>
  <si>
    <t>S00114</t>
  </si>
  <si>
    <t>P2615</t>
  </si>
  <si>
    <t>Melissa89</t>
  </si>
  <si>
    <t>S00123</t>
  </si>
  <si>
    <t>P2064</t>
  </si>
  <si>
    <t>Davidkelley</t>
  </si>
  <si>
    <t>South</t>
  </si>
  <si>
    <t>S00436</t>
  </si>
  <si>
    <t>P9175</t>
  </si>
  <si>
    <t>Gregbaker</t>
  </si>
  <si>
    <t>S00132</t>
  </si>
  <si>
    <t>P2180</t>
  </si>
  <si>
    <t>Briansteele</t>
  </si>
  <si>
    <t>S00133</t>
  </si>
  <si>
    <t>P2956</t>
  </si>
  <si>
    <t>Huangdana</t>
  </si>
  <si>
    <t>S00145</t>
  </si>
  <si>
    <t>P1686</t>
  </si>
  <si>
    <t>Michellemurphy</t>
  </si>
  <si>
    <t>S00431</t>
  </si>
  <si>
    <t>P7163</t>
  </si>
  <si>
    <t>Emilynelson</t>
  </si>
  <si>
    <t>S00422</t>
  </si>
  <si>
    <t>P9334</t>
  </si>
  <si>
    <t>Samantha20</t>
  </si>
  <si>
    <t>S00416</t>
  </si>
  <si>
    <t>P1436</t>
  </si>
  <si>
    <t>Coxanthony</t>
  </si>
  <si>
    <t>S00173</t>
  </si>
  <si>
    <t>P7565</t>
  </si>
  <si>
    <t>Ambersmith</t>
  </si>
  <si>
    <t>S00195</t>
  </si>
  <si>
    <t>P1819</t>
  </si>
  <si>
    <t>Garciadanielle</t>
  </si>
  <si>
    <t>S00209</t>
  </si>
  <si>
    <t>P6903</t>
  </si>
  <si>
    <t>Selliott</t>
  </si>
  <si>
    <t>S00376</t>
  </si>
  <si>
    <t>P4545</t>
  </si>
  <si>
    <t>Monique85</t>
  </si>
  <si>
    <t>S00219</t>
  </si>
  <si>
    <t>P3673</t>
  </si>
  <si>
    <t>Davisdevin</t>
  </si>
  <si>
    <t>S00372</t>
  </si>
  <si>
    <t>P1855</t>
  </si>
  <si>
    <t>Amandarogers</t>
  </si>
  <si>
    <t>S00234</t>
  </si>
  <si>
    <t>P4086</t>
  </si>
  <si>
    <t>Joseph76</t>
  </si>
  <si>
    <t>S00252</t>
  </si>
  <si>
    <t>P7067</t>
  </si>
  <si>
    <t>Jackbarnes</t>
  </si>
  <si>
    <t>S00253</t>
  </si>
  <si>
    <t>P6499</t>
  </si>
  <si>
    <t>Juanjones</t>
  </si>
  <si>
    <t>Skins</t>
  </si>
  <si>
    <t>S00255</t>
  </si>
  <si>
    <t>P4616</t>
  </si>
  <si>
    <t>Danieldonaldson</t>
  </si>
  <si>
    <t>S00264</t>
  </si>
  <si>
    <t>P6567</t>
  </si>
  <si>
    <t>Smithshawn</t>
  </si>
  <si>
    <t>S00342</t>
  </si>
  <si>
    <t>P9340</t>
  </si>
  <si>
    <t>Davisheather</t>
  </si>
  <si>
    <t>S00290</t>
  </si>
  <si>
    <t>P4420</t>
  </si>
  <si>
    <t>Wanda82</t>
  </si>
  <si>
    <t>S00298</t>
  </si>
  <si>
    <t>P1898</t>
  </si>
  <si>
    <t>Yperez</t>
  </si>
  <si>
    <t>S00324</t>
  </si>
  <si>
    <t>P5731</t>
  </si>
  <si>
    <t>Erinhansen</t>
  </si>
  <si>
    <t>S00325</t>
  </si>
  <si>
    <t>P2254</t>
  </si>
  <si>
    <t>Gerald82</t>
  </si>
  <si>
    <t>S00499</t>
  </si>
  <si>
    <t>P1107</t>
  </si>
  <si>
    <t>Fnolan</t>
  </si>
  <si>
    <t>2025-01</t>
  </si>
  <si>
    <t>S00495</t>
  </si>
  <si>
    <t>P7831</t>
  </si>
  <si>
    <t>April12</t>
  </si>
  <si>
    <t>S00016</t>
  </si>
  <si>
    <t>P9796</t>
  </si>
  <si>
    <t>Raynatalie</t>
  </si>
  <si>
    <t>S00017</t>
  </si>
  <si>
    <t>P5317</t>
  </si>
  <si>
    <t>Xtaylor</t>
  </si>
  <si>
    <t>S00018</t>
  </si>
  <si>
    <t>P5320</t>
  </si>
  <si>
    <t>Aguilarjennifer</t>
  </si>
  <si>
    <t>S00040</t>
  </si>
  <si>
    <t>P3875</t>
  </si>
  <si>
    <t>Bruce09</t>
  </si>
  <si>
    <t>S00043</t>
  </si>
  <si>
    <t>P2171</t>
  </si>
  <si>
    <t>Nnguyen</t>
  </si>
  <si>
    <t>Subscriptions</t>
  </si>
  <si>
    <t>S00477</t>
  </si>
  <si>
    <t>P2059</t>
  </si>
  <si>
    <t>Valenzuelakim</t>
  </si>
  <si>
    <t>S00050</t>
  </si>
  <si>
    <t>P5155</t>
  </si>
  <si>
    <t>Griffinsarah</t>
  </si>
  <si>
    <t>S00469</t>
  </si>
  <si>
    <t>P2925</t>
  </si>
  <si>
    <t>Kgonzalez</t>
  </si>
  <si>
    <t>S00063</t>
  </si>
  <si>
    <t>P3641</t>
  </si>
  <si>
    <t>Davischristopher</t>
  </si>
  <si>
    <t>S00067</t>
  </si>
  <si>
    <t>P9667</t>
  </si>
  <si>
    <t>Harrisonsteven</t>
  </si>
  <si>
    <t>S00069</t>
  </si>
  <si>
    <t>P8527</t>
  </si>
  <si>
    <t>Claudiasilva</t>
  </si>
  <si>
    <t>S00070</t>
  </si>
  <si>
    <t>P6322</t>
  </si>
  <si>
    <t>Noah21</t>
  </si>
  <si>
    <t>S00072</t>
  </si>
  <si>
    <t>P3539</t>
  </si>
  <si>
    <t>Martinderrick</t>
  </si>
  <si>
    <t>S00074</t>
  </si>
  <si>
    <t>P8845</t>
  </si>
  <si>
    <t>Connerkevin</t>
  </si>
  <si>
    <t>S00458</t>
  </si>
  <si>
    <t>P8552</t>
  </si>
  <si>
    <t>Jbriggs</t>
  </si>
  <si>
    <t>S00455</t>
  </si>
  <si>
    <t>P4283</t>
  </si>
  <si>
    <t>Sheiladavis</t>
  </si>
  <si>
    <t>S00090</t>
  </si>
  <si>
    <t>P3420</t>
  </si>
  <si>
    <t>Boylejeffrey</t>
  </si>
  <si>
    <t>S00102</t>
  </si>
  <si>
    <t>P1736</t>
  </si>
  <si>
    <t>Qserrano</t>
  </si>
  <si>
    <t>S00106</t>
  </si>
  <si>
    <t>P8823</t>
  </si>
  <si>
    <t>Blakewallace</t>
  </si>
  <si>
    <t>S00443</t>
  </si>
  <si>
    <t>P9493</t>
  </si>
  <si>
    <t>Zmendoza</t>
  </si>
  <si>
    <t>S00121</t>
  </si>
  <si>
    <t>P7130</t>
  </si>
  <si>
    <t>Elee</t>
  </si>
  <si>
    <t>S00124</t>
  </si>
  <si>
    <t>P9571</t>
  </si>
  <si>
    <t>Haroldsawyer</t>
  </si>
  <si>
    <t>S00127</t>
  </si>
  <si>
    <t>P6411</t>
  </si>
  <si>
    <t>Jacobsonmichael</t>
  </si>
  <si>
    <t>S00130</t>
  </si>
  <si>
    <t>P9652</t>
  </si>
  <si>
    <t>Vedwards</t>
  </si>
  <si>
    <t>S00135</t>
  </si>
  <si>
    <t>P9368</t>
  </si>
  <si>
    <t>Thomasmonica</t>
  </si>
  <si>
    <t>S00142</t>
  </si>
  <si>
    <t>P7235</t>
  </si>
  <si>
    <t>Reedchad</t>
  </si>
  <si>
    <t>S00432</t>
  </si>
  <si>
    <t>P2427</t>
  </si>
  <si>
    <t>Kacosta</t>
  </si>
  <si>
    <t>S00148</t>
  </si>
  <si>
    <t>P6441</t>
  </si>
  <si>
    <t>Melissa77</t>
  </si>
  <si>
    <t>S00430</t>
  </si>
  <si>
    <t>P8542</t>
  </si>
  <si>
    <t>Brian05</t>
  </si>
  <si>
    <t>S00151</t>
  </si>
  <si>
    <t>P5644</t>
  </si>
  <si>
    <t>Harrispamela</t>
  </si>
  <si>
    <t>S00426</t>
  </si>
  <si>
    <t>P8176</t>
  </si>
  <si>
    <t>Enielsen</t>
  </si>
  <si>
    <t>S00424</t>
  </si>
  <si>
    <t>P8632</t>
  </si>
  <si>
    <t>Nramos</t>
  </si>
  <si>
    <t>S00413</t>
  </si>
  <si>
    <t>P5355</t>
  </si>
  <si>
    <t>Bruce10</t>
  </si>
  <si>
    <t>S00411</t>
  </si>
  <si>
    <t>P3311</t>
  </si>
  <si>
    <t>Riddleaaron</t>
  </si>
  <si>
    <t>S00178</t>
  </si>
  <si>
    <t>P4333</t>
  </si>
  <si>
    <t>Matthewcasey</t>
  </si>
  <si>
    <t>S00191</t>
  </si>
  <si>
    <t>P6734</t>
  </si>
  <si>
    <t>Christine87</t>
  </si>
  <si>
    <t>S00386</t>
  </si>
  <si>
    <t>P5885</t>
  </si>
  <si>
    <t>Olopez</t>
  </si>
  <si>
    <t>S00384</t>
  </si>
  <si>
    <t>P6967</t>
  </si>
  <si>
    <t>Zvargas</t>
  </si>
  <si>
    <t>S00215</t>
  </si>
  <si>
    <t>P2904</t>
  </si>
  <si>
    <t>William77</t>
  </si>
  <si>
    <t>S00222</t>
  </si>
  <si>
    <t>P9392</t>
  </si>
  <si>
    <t>Scott81</t>
  </si>
  <si>
    <t>S00224</t>
  </si>
  <si>
    <t>P4744</t>
  </si>
  <si>
    <t>Jeansmall</t>
  </si>
  <si>
    <t>S00225</t>
  </si>
  <si>
    <t>P1940</t>
  </si>
  <si>
    <t>Richard18</t>
  </si>
  <si>
    <t>S00226</t>
  </si>
  <si>
    <t>P7147</t>
  </si>
  <si>
    <t>Jayroberts</t>
  </si>
  <si>
    <t>S00227</t>
  </si>
  <si>
    <t>P9650</t>
  </si>
  <si>
    <t>Lpowers</t>
  </si>
  <si>
    <t>S00239</t>
  </si>
  <si>
    <t>P3944</t>
  </si>
  <si>
    <t>Zthomas</t>
  </si>
  <si>
    <t>S00242</t>
  </si>
  <si>
    <t>P7057</t>
  </si>
  <si>
    <t>Anthony60</t>
  </si>
  <si>
    <t>S00245</t>
  </si>
  <si>
    <t>P8881</t>
  </si>
  <si>
    <t>Carpenterjohn</t>
  </si>
  <si>
    <t>S00246</t>
  </si>
  <si>
    <t>P4807</t>
  </si>
  <si>
    <t>Alexwilson</t>
  </si>
  <si>
    <t>S00364</t>
  </si>
  <si>
    <t>P9065</t>
  </si>
  <si>
    <t>Andrewtran</t>
  </si>
  <si>
    <t>S00363</t>
  </si>
  <si>
    <t>P8050</t>
  </si>
  <si>
    <t>Andersonwilliam</t>
  </si>
  <si>
    <t>S00258</t>
  </si>
  <si>
    <t>P1212</t>
  </si>
  <si>
    <t>Hporter</t>
  </si>
  <si>
    <t>S00265</t>
  </si>
  <si>
    <t>P2068</t>
  </si>
  <si>
    <t>Vanessasmith</t>
  </si>
  <si>
    <t>S00274</t>
  </si>
  <si>
    <t>P4950</t>
  </si>
  <si>
    <t>Megan08</t>
  </si>
  <si>
    <t>S00281</t>
  </si>
  <si>
    <t>P5712</t>
  </si>
  <si>
    <t>Brandon14</t>
  </si>
  <si>
    <t>S00295</t>
  </si>
  <si>
    <t>P8996</t>
  </si>
  <si>
    <t>Sbrown</t>
  </si>
  <si>
    <t>S00300</t>
  </si>
  <si>
    <t>P8477</t>
  </si>
  <si>
    <t>Smallalice</t>
  </si>
  <si>
    <t>S00335</t>
  </si>
  <si>
    <t>P5228</t>
  </si>
  <si>
    <t>Melissa44</t>
  </si>
  <si>
    <t>S00311</t>
  </si>
  <si>
    <t>P6038</t>
  </si>
  <si>
    <t>Tbarker</t>
  </si>
  <si>
    <t>S00313</t>
  </si>
  <si>
    <t>P9354</t>
  </si>
  <si>
    <t>Jameswanda</t>
  </si>
  <si>
    <t>S00317</t>
  </si>
  <si>
    <t>P2939</t>
  </si>
  <si>
    <t>Millersarah</t>
  </si>
  <si>
    <t>S00319</t>
  </si>
  <si>
    <t>P2067</t>
  </si>
  <si>
    <t>Waltersnicholas</t>
  </si>
  <si>
    <t>S00320</t>
  </si>
  <si>
    <t>P1338</t>
  </si>
  <si>
    <t>Hharris</t>
  </si>
  <si>
    <t>S00322</t>
  </si>
  <si>
    <t>P6010</t>
  </si>
  <si>
    <t>Emilyking</t>
  </si>
  <si>
    <t>S00001</t>
  </si>
  <si>
    <t>P3652</t>
  </si>
  <si>
    <t>Harrisrichard</t>
  </si>
  <si>
    <t>2025-02</t>
  </si>
  <si>
    <t>S00497</t>
  </si>
  <si>
    <t>P1457</t>
  </si>
  <si>
    <t>Kenneth92</t>
  </si>
  <si>
    <t>S00020</t>
  </si>
  <si>
    <t>P6549</t>
  </si>
  <si>
    <t>Michael06</t>
  </si>
  <si>
    <t>S00028</t>
  </si>
  <si>
    <t>P4851</t>
  </si>
  <si>
    <t>Wlawson</t>
  </si>
  <si>
    <t>S00031</t>
  </si>
  <si>
    <t>P3683</t>
  </si>
  <si>
    <t>Rebekah64</t>
  </si>
  <si>
    <t>S00033</t>
  </si>
  <si>
    <t>P4554</t>
  </si>
  <si>
    <t>Odavis</t>
  </si>
  <si>
    <t>S00039</t>
  </si>
  <si>
    <t>P3668</t>
  </si>
  <si>
    <t>Jenniferwilcox</t>
  </si>
  <si>
    <t>S00481</t>
  </si>
  <si>
    <t>P5458</t>
  </si>
  <si>
    <t>Georgejones</t>
  </si>
  <si>
    <t>S00044</t>
  </si>
  <si>
    <t>P5497</t>
  </si>
  <si>
    <t>Vmooney</t>
  </si>
  <si>
    <t>S00476</t>
  </si>
  <si>
    <t>P9766</t>
  </si>
  <si>
    <t>Smithcarrie</t>
  </si>
  <si>
    <t>S00048</t>
  </si>
  <si>
    <t>P1178</t>
  </si>
  <si>
    <t>Nathan33</t>
  </si>
  <si>
    <t>S00463</t>
  </si>
  <si>
    <t>P3252</t>
  </si>
  <si>
    <t>Wallacedebra</t>
  </si>
  <si>
    <t>S00077</t>
  </si>
  <si>
    <t>P6534</t>
  </si>
  <si>
    <t>Lindsay74</t>
  </si>
  <si>
    <t>S00454</t>
  </si>
  <si>
    <t>P4547</t>
  </si>
  <si>
    <t>Allenvictor</t>
  </si>
  <si>
    <t>S00096</t>
  </si>
  <si>
    <t>P7669</t>
  </si>
  <si>
    <t>Melanie00</t>
  </si>
  <si>
    <t>S00097</t>
  </si>
  <si>
    <t>P1126</t>
  </si>
  <si>
    <t>Richardward</t>
  </si>
  <si>
    <t>S00441</t>
  </si>
  <si>
    <t>P4138</t>
  </si>
  <si>
    <t>Ecooley</t>
  </si>
  <si>
    <t>S00437</t>
  </si>
  <si>
    <t>P1726</t>
  </si>
  <si>
    <t>Sheila89</t>
  </si>
  <si>
    <t>S00149</t>
  </si>
  <si>
    <t>P2573</t>
  </si>
  <si>
    <t>Pkim</t>
  </si>
  <si>
    <t>S00423</t>
  </si>
  <si>
    <t>P8641</t>
  </si>
  <si>
    <t>Johnsonandrea</t>
  </si>
  <si>
    <t>S00158</t>
  </si>
  <si>
    <t>P4783</t>
  </si>
  <si>
    <t>Gsmith</t>
  </si>
  <si>
    <t>S00174</t>
  </si>
  <si>
    <t>P4796</t>
  </si>
  <si>
    <t>Okoch</t>
  </si>
  <si>
    <t>S00175</t>
  </si>
  <si>
    <t>P6406</t>
  </si>
  <si>
    <t>Shannonevans</t>
  </si>
  <si>
    <t>S00410</t>
  </si>
  <si>
    <t>P2497</t>
  </si>
  <si>
    <t>Thomas01</t>
  </si>
  <si>
    <t>S00408</t>
  </si>
  <si>
    <t>P9402</t>
  </si>
  <si>
    <t>Hoffmandaniel</t>
  </si>
  <si>
    <t>S00407</t>
  </si>
  <si>
    <t>P8156</t>
  </si>
  <si>
    <t>Melissaphillips</t>
  </si>
  <si>
    <t>S00405</t>
  </si>
  <si>
    <t>P6700</t>
  </si>
  <si>
    <t>Armstrongmary</t>
  </si>
  <si>
    <t>S00187</t>
  </si>
  <si>
    <t>P6989</t>
  </si>
  <si>
    <t>Schultzkatherine</t>
  </si>
  <si>
    <t>S00398</t>
  </si>
  <si>
    <t>P6922</t>
  </si>
  <si>
    <t>Aprince</t>
  </si>
  <si>
    <t>S00393</t>
  </si>
  <si>
    <t>P1494</t>
  </si>
  <si>
    <t>Steven30</t>
  </si>
  <si>
    <t>S00369</t>
  </si>
  <si>
    <t>P6367</t>
  </si>
  <si>
    <t>Iyoung</t>
  </si>
  <si>
    <t>S00238</t>
  </si>
  <si>
    <t>P4599</t>
  </si>
  <si>
    <t>Wrightjulia</t>
  </si>
  <si>
    <t>S00366</t>
  </si>
  <si>
    <t>P8007</t>
  </si>
  <si>
    <t>Kelly45</t>
  </si>
  <si>
    <t>S00250</t>
  </si>
  <si>
    <t>P2357</t>
  </si>
  <si>
    <t>Coxlauren</t>
  </si>
  <si>
    <t>S00359</t>
  </si>
  <si>
    <t>P8092</t>
  </si>
  <si>
    <t>Lisacoffey</t>
  </si>
  <si>
    <t>S00357</t>
  </si>
  <si>
    <t>P7149</t>
  </si>
  <si>
    <t>Sara36</t>
  </si>
  <si>
    <t>S00279</t>
  </si>
  <si>
    <t>P8384</t>
  </si>
  <si>
    <t>Walkernathan</t>
  </si>
  <si>
    <t>S00280</t>
  </si>
  <si>
    <t>P9835</t>
  </si>
  <si>
    <t>Leslie88</t>
  </si>
  <si>
    <t>S00284</t>
  </si>
  <si>
    <t>P4597</t>
  </si>
  <si>
    <t>John69</t>
  </si>
  <si>
    <t>S00287</t>
  </si>
  <si>
    <t>P8328</t>
  </si>
  <si>
    <t>Floresnatalie</t>
  </si>
  <si>
    <t>S00301</t>
  </si>
  <si>
    <t>P1529</t>
  </si>
  <si>
    <t>Nicole11</t>
  </si>
  <si>
    <t>S00308</t>
  </si>
  <si>
    <t>P6026</t>
  </si>
  <si>
    <t>Ogarcia</t>
  </si>
  <si>
    <t>S00492</t>
  </si>
  <si>
    <t>P6606</t>
  </si>
  <si>
    <t>Scott72</t>
  </si>
  <si>
    <t>2025-03</t>
  </si>
  <si>
    <t>S00013</t>
  </si>
  <si>
    <t>P4776</t>
  </si>
  <si>
    <t>Xjoseph</t>
  </si>
  <si>
    <t>S00015</t>
  </si>
  <si>
    <t>P9150</t>
  </si>
  <si>
    <t>Lesliemiller</t>
  </si>
  <si>
    <t>S00024</t>
  </si>
  <si>
    <t>P8146</t>
  </si>
  <si>
    <t>Rcraig</t>
  </si>
  <si>
    <t>S00485</t>
  </si>
  <si>
    <t>P3923</t>
  </si>
  <si>
    <t>Bhenson</t>
  </si>
  <si>
    <t>S00026</t>
  </si>
  <si>
    <t>P3548</t>
  </si>
  <si>
    <t>Erica07</t>
  </si>
  <si>
    <t>S00483</t>
  </si>
  <si>
    <t>P6524</t>
  </si>
  <si>
    <t>Neallisa</t>
  </si>
  <si>
    <t>S00035</t>
  </si>
  <si>
    <t>P2965</t>
  </si>
  <si>
    <t>Sonya77</t>
  </si>
  <si>
    <t>S00037</t>
  </si>
  <si>
    <t>P2861</t>
  </si>
  <si>
    <t>Leahlee</t>
  </si>
  <si>
    <t>S00054</t>
  </si>
  <si>
    <t>P5714</t>
  </si>
  <si>
    <t>Fforbes</t>
  </si>
  <si>
    <t>S00465</t>
  </si>
  <si>
    <t>P1878</t>
  </si>
  <si>
    <t>Steven19</t>
  </si>
  <si>
    <t>S00062</t>
  </si>
  <si>
    <t>P1805</t>
  </si>
  <si>
    <t>Charlesjohnson</t>
  </si>
  <si>
    <t>S00079</t>
  </si>
  <si>
    <t>P9765</t>
  </si>
  <si>
    <t>Hannah41</t>
  </si>
  <si>
    <t>S00082</t>
  </si>
  <si>
    <t>P7193</t>
  </si>
  <si>
    <t>Tlloyd</t>
  </si>
  <si>
    <t>S00456</t>
  </si>
  <si>
    <t>Tgill</t>
  </si>
  <si>
    <t>S00450</t>
  </si>
  <si>
    <t>P3198</t>
  </si>
  <si>
    <t>Bherrera</t>
  </si>
  <si>
    <t>S00087</t>
  </si>
  <si>
    <t>P9792</t>
  </si>
  <si>
    <t>Jack75</t>
  </si>
  <si>
    <t>S00094</t>
  </si>
  <si>
    <t>P6677</t>
  </si>
  <si>
    <t>Qwatson</t>
  </si>
  <si>
    <t>S00099</t>
  </si>
  <si>
    <t>P9800</t>
  </si>
  <si>
    <t>Sroach</t>
  </si>
  <si>
    <t>S00108</t>
  </si>
  <si>
    <t>Amydunn</t>
  </si>
  <si>
    <t>S00434</t>
  </si>
  <si>
    <t>P2246</t>
  </si>
  <si>
    <t>Lisajames</t>
  </si>
  <si>
    <t>S00154</t>
  </si>
  <si>
    <t>P8055</t>
  </si>
  <si>
    <t>Davidsingleton</t>
  </si>
  <si>
    <t>S00165</t>
  </si>
  <si>
    <t>P6225</t>
  </si>
  <si>
    <t>Adam91</t>
  </si>
  <si>
    <t>S00168</t>
  </si>
  <si>
    <t>Whitemary</t>
  </si>
  <si>
    <t>S00180</t>
  </si>
  <si>
    <t>P9205</t>
  </si>
  <si>
    <t>Douglas13</t>
  </si>
  <si>
    <t>S00396</t>
  </si>
  <si>
    <t>P2202</t>
  </si>
  <si>
    <t>Soliskyle</t>
  </si>
  <si>
    <t>S00379</t>
  </si>
  <si>
    <t>P1302</t>
  </si>
  <si>
    <t>Tdavis</t>
  </si>
  <si>
    <t>S00212</t>
  </si>
  <si>
    <t>P4216</t>
  </si>
  <si>
    <t>Sheilawatkins</t>
  </si>
  <si>
    <t>S00220</t>
  </si>
  <si>
    <t>P7757</t>
  </si>
  <si>
    <t>Tonyachristensen</t>
  </si>
  <si>
    <t>S00370</t>
  </si>
  <si>
    <t>P1693</t>
  </si>
  <si>
    <t>Huntlawrence</t>
  </si>
  <si>
    <t>S00354</t>
  </si>
  <si>
    <t>P4996</t>
  </si>
  <si>
    <t>Jmcknight</t>
  </si>
  <si>
    <t>S00352</t>
  </si>
  <si>
    <t>P8561</t>
  </si>
  <si>
    <t>Boonekristen</t>
  </si>
  <si>
    <t>S00272</t>
  </si>
  <si>
    <t>P4911</t>
  </si>
  <si>
    <t>Mmorgan</t>
  </si>
  <si>
    <t>S00276</t>
  </si>
  <si>
    <t>P2232</t>
  </si>
  <si>
    <t>Donovantrevor</t>
  </si>
  <si>
    <t>S00277</t>
  </si>
  <si>
    <t>P8649</t>
  </si>
  <si>
    <t>Melanie33</t>
  </si>
  <si>
    <t>S00278</t>
  </si>
  <si>
    <t>P7465</t>
  </si>
  <si>
    <t>Foxdawn</t>
  </si>
  <si>
    <t>S00282</t>
  </si>
  <si>
    <t>P7701</t>
  </si>
  <si>
    <t>Carmenbutler</t>
  </si>
  <si>
    <t>S00288</t>
  </si>
  <si>
    <t>P8167</t>
  </si>
  <si>
    <t>Tyler13</t>
  </si>
  <si>
    <t>S00296</t>
  </si>
  <si>
    <t>P1051</t>
  </si>
  <si>
    <t>Kevin42</t>
  </si>
  <si>
    <t>S00336</t>
  </si>
  <si>
    <t>P4680</t>
  </si>
  <si>
    <t>Jack69</t>
  </si>
  <si>
    <t>S00305</t>
  </si>
  <si>
    <t>P2330</t>
  </si>
  <si>
    <t>Davidmendoza</t>
  </si>
  <si>
    <t>S00332</t>
  </si>
  <si>
    <t>P4764</t>
  </si>
  <si>
    <t>Johnsonjulie</t>
  </si>
  <si>
    <t>S00314</t>
  </si>
  <si>
    <t>P6556</t>
  </si>
  <si>
    <t>Dennis63</t>
  </si>
  <si>
    <t>S00316</t>
  </si>
  <si>
    <t>P3050</t>
  </si>
  <si>
    <t>Gonzalezcindy</t>
  </si>
  <si>
    <t>S00318</t>
  </si>
  <si>
    <t>P4946</t>
  </si>
  <si>
    <t>Thompsontodd</t>
  </si>
  <si>
    <t>S00326</t>
  </si>
  <si>
    <t>P2231</t>
  </si>
  <si>
    <t>Jeffreyjimenez</t>
  </si>
  <si>
    <t>S00007</t>
  </si>
  <si>
    <t>P7231</t>
  </si>
  <si>
    <t>Holmesbruce</t>
  </si>
  <si>
    <t>2025-04</t>
  </si>
  <si>
    <t>S00012</t>
  </si>
  <si>
    <t>P7407</t>
  </si>
  <si>
    <t>Jacobhaynes</t>
  </si>
  <si>
    <t>S00486</t>
  </si>
  <si>
    <t>P1788</t>
  </si>
  <si>
    <t>Hgardner</t>
  </si>
  <si>
    <t>S00484</t>
  </si>
  <si>
    <t>P3747</t>
  </si>
  <si>
    <t>Evanskristen</t>
  </si>
  <si>
    <t>S00036</t>
  </si>
  <si>
    <t>P4961</t>
  </si>
  <si>
    <t>Sandyherman</t>
  </si>
  <si>
    <t>S00059</t>
  </si>
  <si>
    <t>P1110</t>
  </si>
  <si>
    <t>Joseph32</t>
  </si>
  <si>
    <t>S00060</t>
  </si>
  <si>
    <t>P2205</t>
  </si>
  <si>
    <t>Fstewart</t>
  </si>
  <si>
    <t>S00075</t>
  </si>
  <si>
    <t>P3222</t>
  </si>
  <si>
    <t>Fmayer</t>
  </si>
  <si>
    <t>S00449</t>
  </si>
  <si>
    <t>P5705</t>
  </si>
  <si>
    <t>Hernandezcatherine</t>
  </si>
  <si>
    <t>S00092</t>
  </si>
  <si>
    <t>Smullins</t>
  </si>
  <si>
    <t>S00448</t>
  </si>
  <si>
    <t>P1344</t>
  </si>
  <si>
    <t>Keithunderwood</t>
  </si>
  <si>
    <t>S00116</t>
  </si>
  <si>
    <t>P7715</t>
  </si>
  <si>
    <t>Vhart</t>
  </si>
  <si>
    <t>S00134</t>
  </si>
  <si>
    <t>P3200</t>
  </si>
  <si>
    <t>Robert23</t>
  </si>
  <si>
    <t>S00435</t>
  </si>
  <si>
    <t>P2996</t>
  </si>
  <si>
    <t>Linda22</t>
  </si>
  <si>
    <t>S00138</t>
  </si>
  <si>
    <t>Timothy18</t>
  </si>
  <si>
    <t>S00140</t>
  </si>
  <si>
    <t>P4842</t>
  </si>
  <si>
    <t>Deckeramanda</t>
  </si>
  <si>
    <t>S00144</t>
  </si>
  <si>
    <t>P2317</t>
  </si>
  <si>
    <t>Robertohobbs</t>
  </si>
  <si>
    <t>S00147</t>
  </si>
  <si>
    <t>P2026</t>
  </si>
  <si>
    <t>Manuel15</t>
  </si>
  <si>
    <t>S00421</t>
  </si>
  <si>
    <t>P9217</t>
  </si>
  <si>
    <t>Pwright</t>
  </si>
  <si>
    <t>S00161</t>
  </si>
  <si>
    <t>P7830</t>
  </si>
  <si>
    <t>Thomasowens</t>
  </si>
  <si>
    <t>S00419</t>
  </si>
  <si>
    <t>P1065</t>
  </si>
  <si>
    <t>Neilmorrison</t>
  </si>
  <si>
    <t>S00167</t>
  </si>
  <si>
    <t>P4379</t>
  </si>
  <si>
    <t>Walkerdeborah</t>
  </si>
  <si>
    <t>S00171</t>
  </si>
  <si>
    <t>P4426</t>
  </si>
  <si>
    <t>Joe22</t>
  </si>
  <si>
    <t>S00182</t>
  </si>
  <si>
    <t>P3609</t>
  </si>
  <si>
    <t>Brianlopez</t>
  </si>
  <si>
    <t>S00399</t>
  </si>
  <si>
    <t>P6788</t>
  </si>
  <si>
    <t>Dylanblack</t>
  </si>
  <si>
    <t>S00203</t>
  </si>
  <si>
    <t>P5877</t>
  </si>
  <si>
    <t>Jperkins</t>
  </si>
  <si>
    <t>S00383</t>
  </si>
  <si>
    <t>P8505</t>
  </si>
  <si>
    <t>Derrickbuck</t>
  </si>
  <si>
    <t>S00377</t>
  </si>
  <si>
    <t>P7247</t>
  </si>
  <si>
    <t>Hhuff</t>
  </si>
  <si>
    <t>S00221</t>
  </si>
  <si>
    <t>P1073</t>
  </si>
  <si>
    <t>Shawna86</t>
  </si>
  <si>
    <t>S00223</t>
  </si>
  <si>
    <t>P8292</t>
  </si>
  <si>
    <t>Kellyrichardson</t>
  </si>
  <si>
    <t>S00371</t>
  </si>
  <si>
    <t>P6086</t>
  </si>
  <si>
    <t>Parkzachary</t>
  </si>
  <si>
    <t>S00235</t>
  </si>
  <si>
    <t>P5994</t>
  </si>
  <si>
    <t>Deannanewman</t>
  </si>
  <si>
    <t>S00368</t>
  </si>
  <si>
    <t>P4682</t>
  </si>
  <si>
    <t>Aryan</t>
  </si>
  <si>
    <t>S00240</t>
  </si>
  <si>
    <t>P9467</t>
  </si>
  <si>
    <t>Fmay</t>
  </si>
  <si>
    <t>S00244</t>
  </si>
  <si>
    <t>P8810</t>
  </si>
  <si>
    <t>Tracy64</t>
  </si>
  <si>
    <t>S00365</t>
  </si>
  <si>
    <t>P1888</t>
  </si>
  <si>
    <t>Lynchtina</t>
  </si>
  <si>
    <t>S00248</t>
  </si>
  <si>
    <t>P2659</t>
  </si>
  <si>
    <t>Joshuasmith</t>
  </si>
  <si>
    <t>S00254</t>
  </si>
  <si>
    <t>P5142</t>
  </si>
  <si>
    <t>Georgewarren</t>
  </si>
  <si>
    <t>S00271</t>
  </si>
  <si>
    <t>P7072</t>
  </si>
  <si>
    <t>Matthew23</t>
  </si>
  <si>
    <t>S00275</t>
  </si>
  <si>
    <t>P7472</t>
  </si>
  <si>
    <t>Kcook</t>
  </si>
  <si>
    <t>S00283</t>
  </si>
  <si>
    <t>P7004</t>
  </si>
  <si>
    <t>Monicaharris</t>
  </si>
  <si>
    <t>S00345</t>
  </si>
  <si>
    <t>P6815</t>
  </si>
  <si>
    <t>Parkerpatricia</t>
  </si>
  <si>
    <t>S00291</t>
  </si>
  <si>
    <t>P6223</t>
  </si>
  <si>
    <t>Raymondjenna</t>
  </si>
  <si>
    <t>S00338</t>
  </si>
  <si>
    <t>P9449</t>
  </si>
  <si>
    <t>Douglasluke</t>
  </si>
  <si>
    <t>S00302</t>
  </si>
  <si>
    <t>P5078</t>
  </si>
  <si>
    <t>Elizabeth99</t>
  </si>
  <si>
    <t>S00307</t>
  </si>
  <si>
    <t>P9068</t>
  </si>
  <si>
    <t>Nthompson</t>
  </si>
  <si>
    <t>S00315</t>
  </si>
  <si>
    <t>P6685</t>
  </si>
  <si>
    <t>Coreyperez</t>
  </si>
  <si>
    <t>S00005</t>
  </si>
  <si>
    <t>P7925</t>
  </si>
  <si>
    <t>Ballarddouglas</t>
  </si>
  <si>
    <t>2025-05</t>
  </si>
  <si>
    <t>S00010</t>
  </si>
  <si>
    <t>P4220</t>
  </si>
  <si>
    <t>Ryanmarshall</t>
  </si>
  <si>
    <t>S00491</t>
  </si>
  <si>
    <t>P8692</t>
  </si>
  <si>
    <t>Krogers</t>
  </si>
  <si>
    <t>S00014</t>
  </si>
  <si>
    <t>P6935</t>
  </si>
  <si>
    <t>Yjohnson</t>
  </si>
  <si>
    <t>S00490</t>
  </si>
  <si>
    <t>P9973</t>
  </si>
  <si>
    <t>Millerdonald</t>
  </si>
  <si>
    <t>S00021</t>
  </si>
  <si>
    <t>P1758</t>
  </si>
  <si>
    <t>Lawsonderrick</t>
  </si>
  <si>
    <t>S00022</t>
  </si>
  <si>
    <t>P5785</t>
  </si>
  <si>
    <t>Icrawford</t>
  </si>
  <si>
    <t>S00027</t>
  </si>
  <si>
    <t>P2609</t>
  </si>
  <si>
    <t>Owensoscar</t>
  </si>
  <si>
    <t>S00482</t>
  </si>
  <si>
    <t>P6129</t>
  </si>
  <si>
    <t>Donna27</t>
  </si>
  <si>
    <t>S00038</t>
  </si>
  <si>
    <t>P7945</t>
  </si>
  <si>
    <t>Richardhooper</t>
  </si>
  <si>
    <t>S00479</t>
  </si>
  <si>
    <t>P5699</t>
  </si>
  <si>
    <t>Cathy10</t>
  </si>
  <si>
    <t>S00478</t>
  </si>
  <si>
    <t>P3378</t>
  </si>
  <si>
    <t>Adamsbarbara</t>
  </si>
  <si>
    <t>S00470</t>
  </si>
  <si>
    <t>P9769</t>
  </si>
  <si>
    <t>Marcus01</t>
  </si>
  <si>
    <t>S00468</t>
  </si>
  <si>
    <t>P9747</t>
  </si>
  <si>
    <t>Charles59</t>
  </si>
  <si>
    <t>S00056</t>
  </si>
  <si>
    <t>P1285</t>
  </si>
  <si>
    <t>Amylong</t>
  </si>
  <si>
    <t>S00057</t>
  </si>
  <si>
    <t>P7588</t>
  </si>
  <si>
    <t>Usnyder</t>
  </si>
  <si>
    <t>S00061</t>
  </si>
  <si>
    <t>P7473</t>
  </si>
  <si>
    <t>Sholmes</t>
  </si>
  <si>
    <t>S00464</t>
  </si>
  <si>
    <t>P2743</t>
  </si>
  <si>
    <t>Jennifersmith</t>
  </si>
  <si>
    <t>S00073</t>
  </si>
  <si>
    <t>P8666</t>
  </si>
  <si>
    <t>Craiggail</t>
  </si>
  <si>
    <t>S00080</t>
  </si>
  <si>
    <t>P2463</t>
  </si>
  <si>
    <t>Bentonashley</t>
  </si>
  <si>
    <t>S00095</t>
  </si>
  <si>
    <t>P5248</t>
  </si>
  <si>
    <t>Xreed</t>
  </si>
  <si>
    <t>S00100</t>
  </si>
  <si>
    <t>P5367</t>
  </si>
  <si>
    <t>Jeffreyluna</t>
  </si>
  <si>
    <t>S00104</t>
  </si>
  <si>
    <t>P9492</t>
  </si>
  <si>
    <t>Ggriffith</t>
  </si>
  <si>
    <t>S00105</t>
  </si>
  <si>
    <t>P2590</t>
  </si>
  <si>
    <t>Chrisperkins</t>
  </si>
  <si>
    <t>S00446</t>
  </si>
  <si>
    <t>P7453</t>
  </si>
  <si>
    <t>Davidhunt</t>
  </si>
  <si>
    <t>S00110</t>
  </si>
  <si>
    <t>P9730</t>
  </si>
  <si>
    <t>Jennifer33</t>
  </si>
  <si>
    <t>S00112</t>
  </si>
  <si>
    <t>P3011</t>
  </si>
  <si>
    <t>Keithmaddox</t>
  </si>
  <si>
    <t>S00442</t>
  </si>
  <si>
    <t>P9949</t>
  </si>
  <si>
    <t>Brenda52</t>
  </si>
  <si>
    <t>S00118</t>
  </si>
  <si>
    <t>P8621</t>
  </si>
  <si>
    <t>Davisamy</t>
  </si>
  <si>
    <t>S00119</t>
  </si>
  <si>
    <t>P4118</t>
  </si>
  <si>
    <t>Dorseyemily</t>
  </si>
  <si>
    <t>S00438</t>
  </si>
  <si>
    <t>P1604</t>
  </si>
  <si>
    <t>Pweaver</t>
  </si>
  <si>
    <t>S00131</t>
  </si>
  <si>
    <t>P6617</t>
  </si>
  <si>
    <t>Figueroadoris</t>
  </si>
  <si>
    <t>S00137</t>
  </si>
  <si>
    <t>P4039</t>
  </si>
  <si>
    <t>Alanguerrero</t>
  </si>
  <si>
    <t>S00155</t>
  </si>
  <si>
    <t>P2328</t>
  </si>
  <si>
    <t>Byrdevelyn</t>
  </si>
  <si>
    <t>S00164</t>
  </si>
  <si>
    <t>P4355</t>
  </si>
  <si>
    <t>Victoriastone</t>
  </si>
  <si>
    <t>S00166</t>
  </si>
  <si>
    <t>P9011</t>
  </si>
  <si>
    <t>Robertroberts</t>
  </si>
  <si>
    <t>S00415</t>
  </si>
  <si>
    <t>P6369</t>
  </si>
  <si>
    <t>Kingtroy</t>
  </si>
  <si>
    <t>S00177</t>
  </si>
  <si>
    <t>P4485</t>
  </si>
  <si>
    <t>S00179</t>
  </si>
  <si>
    <t>P3013</t>
  </si>
  <si>
    <t>Smayo</t>
  </si>
  <si>
    <t>S00181</t>
  </si>
  <si>
    <t>P2490</t>
  </si>
  <si>
    <t>Bakerjohn</t>
  </si>
  <si>
    <t>S00401</t>
  </si>
  <si>
    <t>P3613</t>
  </si>
  <si>
    <t>Sandraclark</t>
  </si>
  <si>
    <t>S00190</t>
  </si>
  <si>
    <t>P5227</t>
  </si>
  <si>
    <t>Snguyen</t>
  </si>
  <si>
    <t>S00397</t>
  </si>
  <si>
    <t>P9321</t>
  </si>
  <si>
    <t>Angelicawillis</t>
  </si>
  <si>
    <t>S00197</t>
  </si>
  <si>
    <t>P8044</t>
  </si>
  <si>
    <t>Henryrosales</t>
  </si>
  <si>
    <t>S00392</t>
  </si>
  <si>
    <t>P2684</t>
  </si>
  <si>
    <t>Bellraymond</t>
  </si>
  <si>
    <t>S00199</t>
  </si>
  <si>
    <t>P9860</t>
  </si>
  <si>
    <t>Andrewbrown</t>
  </si>
  <si>
    <t>S00390</t>
  </si>
  <si>
    <t>P9103</t>
  </si>
  <si>
    <t>Lance41</t>
  </si>
  <si>
    <t>S00389</t>
  </si>
  <si>
    <t>P4758</t>
  </si>
  <si>
    <t>Howardsamantha</t>
  </si>
  <si>
    <t>S00206</t>
  </si>
  <si>
    <t>P3345</t>
  </si>
  <si>
    <t>Wjohnson</t>
  </si>
  <si>
    <t>S00207</t>
  </si>
  <si>
    <t>P1709</t>
  </si>
  <si>
    <t>Darren53</t>
  </si>
  <si>
    <t>S00208</t>
  </si>
  <si>
    <t>P3727</t>
  </si>
  <si>
    <t>Nathanielchavez</t>
  </si>
  <si>
    <t>S00378</t>
  </si>
  <si>
    <t>P2591</t>
  </si>
  <si>
    <t>Caitlingonzales</t>
  </si>
  <si>
    <t>S00375</t>
  </si>
  <si>
    <t>P5838</t>
  </si>
  <si>
    <t>Christopher10</t>
  </si>
  <si>
    <t>S00230</t>
  </si>
  <si>
    <t>P7236</t>
  </si>
  <si>
    <t>Zhopkins</t>
  </si>
  <si>
    <t>S00232</t>
  </si>
  <si>
    <t>P8348</t>
  </si>
  <si>
    <t>Pottsdavid</t>
  </si>
  <si>
    <t>S00243</t>
  </si>
  <si>
    <t>P5909</t>
  </si>
  <si>
    <t>Mercedesyoung</t>
  </si>
  <si>
    <t>S00360</t>
  </si>
  <si>
    <t>P9731</t>
  </si>
  <si>
    <t>Popelance</t>
  </si>
  <si>
    <t>S00358</t>
  </si>
  <si>
    <t>P1901</t>
  </si>
  <si>
    <t>Leestewart</t>
  </si>
  <si>
    <t>S00263</t>
  </si>
  <si>
    <t>P2082</t>
  </si>
  <si>
    <t>Iadkins</t>
  </si>
  <si>
    <t>S00356</t>
  </si>
  <si>
    <t>P9101</t>
  </si>
  <si>
    <t>Hardychristopher</t>
  </si>
  <si>
    <t>S00269</t>
  </si>
  <si>
    <t>P3615</t>
  </si>
  <si>
    <t>Tamarafowler</t>
  </si>
  <si>
    <t>S00349</t>
  </si>
  <si>
    <t>P9419</t>
  </si>
  <si>
    <t>Angelaramsey</t>
  </si>
  <si>
    <t>S00292</t>
  </si>
  <si>
    <t>P2113</t>
  </si>
  <si>
    <t>Cassandrarice</t>
  </si>
  <si>
    <t>S00340</t>
  </si>
  <si>
    <t>P6015</t>
  </si>
  <si>
    <t>Terrychristina</t>
  </si>
  <si>
    <t>S00297</t>
  </si>
  <si>
    <t>P2001</t>
  </si>
  <si>
    <t>Yrichardson</t>
  </si>
  <si>
    <t>S00303</t>
  </si>
  <si>
    <t>P8482</t>
  </si>
  <si>
    <t>Hornjoshua</t>
  </si>
  <si>
    <t>S00304</t>
  </si>
  <si>
    <t>P1757</t>
  </si>
  <si>
    <t>Thomas29</t>
  </si>
  <si>
    <t>S00330</t>
  </si>
  <si>
    <t>P6447</t>
  </si>
  <si>
    <t>Jessica34</t>
  </si>
  <si>
    <t>S00328</t>
  </si>
  <si>
    <t>P3118</t>
  </si>
  <si>
    <t>Jonathan53</t>
  </si>
  <si>
    <t>S00327</t>
  </si>
  <si>
    <t>P2736</t>
  </si>
  <si>
    <t>Lcase</t>
  </si>
  <si>
    <t>S00004</t>
  </si>
  <si>
    <t>P2930</t>
  </si>
  <si>
    <t>Isaac85</t>
  </si>
  <si>
    <t>2025-06</t>
  </si>
  <si>
    <t>S00030</t>
  </si>
  <si>
    <t>P4408</t>
  </si>
  <si>
    <t>Dlee</t>
  </si>
  <si>
    <t>S00064</t>
  </si>
  <si>
    <t>P6094</t>
  </si>
  <si>
    <t>Jenniferarnold</t>
  </si>
  <si>
    <t>S00066</t>
  </si>
  <si>
    <t>P2499</t>
  </si>
  <si>
    <t>Mbowen</t>
  </si>
  <si>
    <t>S00068</t>
  </si>
  <si>
    <t>P9995</t>
  </si>
  <si>
    <t>Tinapreston</t>
  </si>
  <si>
    <t>S00071</t>
  </si>
  <si>
    <t>P8019</t>
  </si>
  <si>
    <t>Nwatkins</t>
  </si>
  <si>
    <t>S00091</t>
  </si>
  <si>
    <t>P6128</t>
  </si>
  <si>
    <t>Justinvargas</t>
  </si>
  <si>
    <t>S00109</t>
  </si>
  <si>
    <t>Awise</t>
  </si>
  <si>
    <t>S00125</t>
  </si>
  <si>
    <t>P9017</t>
  </si>
  <si>
    <t>Albertkelly</t>
  </si>
  <si>
    <t>S00128</t>
  </si>
  <si>
    <t>P4959</t>
  </si>
  <si>
    <t>Robert48</t>
  </si>
  <si>
    <t>S00139</t>
  </si>
  <si>
    <t>P4544</t>
  </si>
  <si>
    <t>Martinrobert</t>
  </si>
  <si>
    <t>S00429</t>
  </si>
  <si>
    <t>P4908</t>
  </si>
  <si>
    <t>Twashington</t>
  </si>
  <si>
    <t>S00170</t>
  </si>
  <si>
    <t>P1330</t>
  </si>
  <si>
    <t>Weaverdaniel</t>
  </si>
  <si>
    <t>S00388</t>
  </si>
  <si>
    <t>P6440</t>
  </si>
  <si>
    <t>Lisabarber</t>
  </si>
  <si>
    <t>S00214</t>
  </si>
  <si>
    <t>P5369</t>
  </si>
  <si>
    <t>Alexandermoore</t>
  </si>
  <si>
    <t>S00373</t>
  </si>
  <si>
    <t>P9993</t>
  </si>
  <si>
    <t>Bharris</t>
  </si>
  <si>
    <t>S00362</t>
  </si>
  <si>
    <t>P3956</t>
  </si>
  <si>
    <t>Ruizkimberly</t>
  </si>
  <si>
    <t>S00261</t>
  </si>
  <si>
    <t>P7483</t>
  </si>
  <si>
    <t>Murrayaaron</t>
  </si>
  <si>
    <t>S00267</t>
  </si>
  <si>
    <t>P9642</t>
  </si>
  <si>
    <t>Dfloyd</t>
  </si>
  <si>
    <t>S00285</t>
  </si>
  <si>
    <t>P3464</t>
  </si>
  <si>
    <t>Ryan43</t>
  </si>
  <si>
    <t>S00310</t>
  </si>
  <si>
    <t>P5092</t>
  </si>
  <si>
    <t>Owenssherry</t>
  </si>
  <si>
    <t>Monthly Active Players</t>
  </si>
  <si>
    <t>Engagement Level Distribution</t>
  </si>
  <si>
    <t>Purchase Behavior Split</t>
  </si>
  <si>
    <t>Row Labels</t>
  </si>
  <si>
    <t>Count of Player ID</t>
  </si>
  <si>
    <t>Grand Total</t>
  </si>
  <si>
    <t>Monthly Purchase Trend</t>
  </si>
  <si>
    <t>Suspicious Behavior by Engagement Level</t>
  </si>
  <si>
    <t>Suspicious Activity Trend</t>
  </si>
  <si>
    <t>Column Labels</t>
  </si>
  <si>
    <t>S00003</t>
  </si>
  <si>
    <t>P5280</t>
  </si>
  <si>
    <t>Katie47</t>
  </si>
  <si>
    <t>S00006</t>
  </si>
  <si>
    <t>P9919</t>
  </si>
  <si>
    <t>Lrichardson</t>
  </si>
  <si>
    <t>S00008</t>
  </si>
  <si>
    <t>P5965</t>
  </si>
  <si>
    <t>Lhansen</t>
  </si>
  <si>
    <t>S00009</t>
  </si>
  <si>
    <t>P3834</t>
  </si>
  <si>
    <t>Alexis47</t>
  </si>
  <si>
    <t>S00011</t>
  </si>
  <si>
    <t>P1038</t>
  </si>
  <si>
    <t>Alexandriaparrish</t>
  </si>
  <si>
    <t>S00019</t>
  </si>
  <si>
    <t>P8261</t>
  </si>
  <si>
    <t>Lmeza</t>
  </si>
  <si>
    <t>S00023</t>
  </si>
  <si>
    <t>P4722</t>
  </si>
  <si>
    <t>David54</t>
  </si>
  <si>
    <t>S00025</t>
  </si>
  <si>
    <t>P2146</t>
  </si>
  <si>
    <t>Kvasquez</t>
  </si>
  <si>
    <t>S00029</t>
  </si>
  <si>
    <t>P5046</t>
  </si>
  <si>
    <t>Kevinruiz</t>
  </si>
  <si>
    <t>S00032</t>
  </si>
  <si>
    <t>P6285</t>
  </si>
  <si>
    <t>Katherinejohnston</t>
  </si>
  <si>
    <t>S00034</t>
  </si>
  <si>
    <t>P6724</t>
  </si>
  <si>
    <t>Tylermiller</t>
  </si>
  <si>
    <t>S00041</t>
  </si>
  <si>
    <t>P2707</t>
  </si>
  <si>
    <t>Tpark</t>
  </si>
  <si>
    <t>S00042</t>
  </si>
  <si>
    <t>P2683</t>
  </si>
  <si>
    <t>Csanchez</t>
  </si>
  <si>
    <t>S00045</t>
  </si>
  <si>
    <t>P7820</t>
  </si>
  <si>
    <t>Jennifer87</t>
  </si>
  <si>
    <t>S00046</t>
  </si>
  <si>
    <t>P5339</t>
  </si>
  <si>
    <t>Jcarter</t>
  </si>
  <si>
    <t>S00047</t>
  </si>
  <si>
    <t>P2125</t>
  </si>
  <si>
    <t>Jlane</t>
  </si>
  <si>
    <t>S00049</t>
  </si>
  <si>
    <t>P2502</t>
  </si>
  <si>
    <t>Owensjoseph</t>
  </si>
  <si>
    <t>S00051</t>
  </si>
  <si>
    <t>P3174</t>
  </si>
  <si>
    <t>Petersonlacey</t>
  </si>
  <si>
    <t>S00053</t>
  </si>
  <si>
    <t>P9579</t>
  </si>
  <si>
    <t>Richardsjessica</t>
  </si>
  <si>
    <t>S00055</t>
  </si>
  <si>
    <t>P4102</t>
  </si>
  <si>
    <t>Odonnelljennifer</t>
  </si>
  <si>
    <t>S00058</t>
  </si>
  <si>
    <t>P9514</t>
  </si>
  <si>
    <t>Dianaburgess</t>
  </si>
  <si>
    <t>S00065</t>
  </si>
  <si>
    <t>P5717</t>
  </si>
  <si>
    <t>Palmerashley</t>
  </si>
  <si>
    <t>S00076</t>
  </si>
  <si>
    <t>P1269</t>
  </si>
  <si>
    <t>Bryantdawn</t>
  </si>
  <si>
    <t>S00078</t>
  </si>
  <si>
    <t>P1662</t>
  </si>
  <si>
    <t>Ehill</t>
  </si>
  <si>
    <t>S00081</t>
  </si>
  <si>
    <t>P3235</t>
  </si>
  <si>
    <t>Kellyhill</t>
  </si>
  <si>
    <t>S00083</t>
  </si>
  <si>
    <t>P1366</t>
  </si>
  <si>
    <t>Robinatkinson</t>
  </si>
  <si>
    <t>S00084</t>
  </si>
  <si>
    <t>P3144</t>
  </si>
  <si>
    <t>Karen96</t>
  </si>
  <si>
    <t>S00085</t>
  </si>
  <si>
    <t>P2977</t>
  </si>
  <si>
    <t>Mark79</t>
  </si>
  <si>
    <t>S00086</t>
  </si>
  <si>
    <t>P8703</t>
  </si>
  <si>
    <t>Wayne88</t>
  </si>
  <si>
    <t>S00088</t>
  </si>
  <si>
    <t>P5000</t>
  </si>
  <si>
    <t>Shenderson</t>
  </si>
  <si>
    <t>S00101</t>
  </si>
  <si>
    <t>P6401</t>
  </si>
  <si>
    <t>Chavezmelissa</t>
  </si>
  <si>
    <t>S00103</t>
  </si>
  <si>
    <t>P5013</t>
  </si>
  <si>
    <t>Angelabutler</t>
  </si>
  <si>
    <t>S00107</t>
  </si>
  <si>
    <t>P1933</t>
  </si>
  <si>
    <t>Ismith</t>
  </si>
  <si>
    <t>S00113</t>
  </si>
  <si>
    <t>P7599</t>
  </si>
  <si>
    <t>Fuentesmelanie</t>
  </si>
  <si>
    <t>S00115</t>
  </si>
  <si>
    <t>P5890</t>
  </si>
  <si>
    <t>Jill75</t>
  </si>
  <si>
    <t>S00117</t>
  </si>
  <si>
    <t>P4728</t>
  </si>
  <si>
    <t>Marilynharrison</t>
  </si>
  <si>
    <t>S00120</t>
  </si>
  <si>
    <t>P1199</t>
  </si>
  <si>
    <t>Garymeyers</t>
  </si>
  <si>
    <t>S00122</t>
  </si>
  <si>
    <t>P1992</t>
  </si>
  <si>
    <t>Jennifer29</t>
  </si>
  <si>
    <t>S00126</t>
  </si>
  <si>
    <t>P8062</t>
  </si>
  <si>
    <t>Chambersnicole</t>
  </si>
  <si>
    <t>S00129</t>
  </si>
  <si>
    <t>P8564</t>
  </si>
  <si>
    <t>Wyattsanchez</t>
  </si>
  <si>
    <t>S00136</t>
  </si>
  <si>
    <t>P7857</t>
  </si>
  <si>
    <t>Griffithbilly</t>
  </si>
  <si>
    <t>S00141</t>
  </si>
  <si>
    <t>P2727</t>
  </si>
  <si>
    <t>Allison25</t>
  </si>
  <si>
    <t>S00143</t>
  </si>
  <si>
    <t>P8203</t>
  </si>
  <si>
    <t>Kennedyjacob</t>
  </si>
  <si>
    <t>S00146</t>
  </si>
  <si>
    <t>P3775</t>
  </si>
  <si>
    <t>Castillowilliam</t>
  </si>
  <si>
    <t>S00150</t>
  </si>
  <si>
    <t>P2593</t>
  </si>
  <si>
    <t>Erinjones</t>
  </si>
  <si>
    <t>S00152</t>
  </si>
  <si>
    <t>P5906</t>
  </si>
  <si>
    <t>Onoble</t>
  </si>
  <si>
    <t>S00153</t>
  </si>
  <si>
    <t>P4716</t>
  </si>
  <si>
    <t>Jamie88</t>
  </si>
  <si>
    <t>S00156</t>
  </si>
  <si>
    <t>P2755</t>
  </si>
  <si>
    <t>Ivan06</t>
  </si>
  <si>
    <t>S00157</t>
  </si>
  <si>
    <t>P5941</t>
  </si>
  <si>
    <t>Gabriellogan</t>
  </si>
  <si>
    <t>S00159</t>
  </si>
  <si>
    <t>P7795</t>
  </si>
  <si>
    <t>Morrismelissa</t>
  </si>
  <si>
    <t>S00160</t>
  </si>
  <si>
    <t>P5207</t>
  </si>
  <si>
    <t>Courtneycarr</t>
  </si>
  <si>
    <t>S00162</t>
  </si>
  <si>
    <t>P9575</t>
  </si>
  <si>
    <t>Robertsoncynthia</t>
  </si>
  <si>
    <t>S00163</t>
  </si>
  <si>
    <t>P8379</t>
  </si>
  <si>
    <t>Uhudson</t>
  </si>
  <si>
    <t>S00169</t>
  </si>
  <si>
    <t>P1828</t>
  </si>
  <si>
    <t>Fray</t>
  </si>
  <si>
    <t>S00172</t>
  </si>
  <si>
    <t>P7943</t>
  </si>
  <si>
    <t>Vaughnlori</t>
  </si>
  <si>
    <t>S00176</t>
  </si>
  <si>
    <t>P3229</t>
  </si>
  <si>
    <t>Gina94</t>
  </si>
  <si>
    <t>S00183</t>
  </si>
  <si>
    <t>P2506</t>
  </si>
  <si>
    <t>Troberts</t>
  </si>
  <si>
    <t>S00184</t>
  </si>
  <si>
    <t>P6474</t>
  </si>
  <si>
    <t>Robertmassey</t>
  </si>
  <si>
    <t>S00185</t>
  </si>
  <si>
    <t>P5211</t>
  </si>
  <si>
    <t>Ynovak</t>
  </si>
  <si>
    <t>S00186</t>
  </si>
  <si>
    <t>P7900</t>
  </si>
  <si>
    <t>Colinmartinez</t>
  </si>
  <si>
    <t>S00188</t>
  </si>
  <si>
    <t>Romerostephanie</t>
  </si>
  <si>
    <t>S00189</t>
  </si>
  <si>
    <t>P4279</t>
  </si>
  <si>
    <t>Otaylor</t>
  </si>
  <si>
    <t>S00192</t>
  </si>
  <si>
    <t>P2833</t>
  </si>
  <si>
    <t>Kerry23</t>
  </si>
  <si>
    <t>S00193</t>
  </si>
  <si>
    <t>P3866</t>
  </si>
  <si>
    <t>Natashamartin</t>
  </si>
  <si>
    <t>S00194</t>
  </si>
  <si>
    <t>P9566</t>
  </si>
  <si>
    <t>Rileyjason</t>
  </si>
  <si>
    <t>S00196</t>
  </si>
  <si>
    <t>P5750</t>
  </si>
  <si>
    <t>Walterkayla</t>
  </si>
  <si>
    <t>S00198</t>
  </si>
  <si>
    <t>P7656</t>
  </si>
  <si>
    <t>Nrichmond</t>
  </si>
  <si>
    <t>S00200</t>
  </si>
  <si>
    <t>P7486</t>
  </si>
  <si>
    <t>Qmills</t>
  </si>
  <si>
    <t>S00201</t>
  </si>
  <si>
    <t>P5966</t>
  </si>
  <si>
    <t>Qcarrillo</t>
  </si>
  <si>
    <t>S00202</t>
  </si>
  <si>
    <t>P8953</t>
  </si>
  <si>
    <t>Mcdanielautumn</t>
  </si>
  <si>
    <t>S00204</t>
  </si>
  <si>
    <t>P7851</t>
  </si>
  <si>
    <t>Hernandezmichael</t>
  </si>
  <si>
    <t>S00205</t>
  </si>
  <si>
    <t>P8927</t>
  </si>
  <si>
    <t>Xpadilla</t>
  </si>
  <si>
    <t>S00210</t>
  </si>
  <si>
    <t>P9657</t>
  </si>
  <si>
    <t>Elowe</t>
  </si>
  <si>
    <t>S00211</t>
  </si>
  <si>
    <t>P6523</t>
  </si>
  <si>
    <t>Edwardsjohn</t>
  </si>
  <si>
    <t>S00213</t>
  </si>
  <si>
    <t>P5442</t>
  </si>
  <si>
    <t>Nicholas77</t>
  </si>
  <si>
    <t>S00216</t>
  </si>
  <si>
    <t>P2461</t>
  </si>
  <si>
    <t>Michelle54</t>
  </si>
  <si>
    <t>S00217</t>
  </si>
  <si>
    <t>P3087</t>
  </si>
  <si>
    <t>Quinncaroline</t>
  </si>
  <si>
    <t>S00218</t>
  </si>
  <si>
    <t>P1617</t>
  </si>
  <si>
    <t>Hlucas</t>
  </si>
  <si>
    <t>S00228</t>
  </si>
  <si>
    <t>P4765</t>
  </si>
  <si>
    <t>Thomas60</t>
  </si>
  <si>
    <t>S00229</t>
  </si>
  <si>
    <t>P1732</t>
  </si>
  <si>
    <t>Zjames</t>
  </si>
  <si>
    <t>S00231</t>
  </si>
  <si>
    <t>P9363</t>
  </si>
  <si>
    <t>Melissa94</t>
  </si>
  <si>
    <t>S00233</t>
  </si>
  <si>
    <t>P8315</t>
  </si>
  <si>
    <t>Zmartin</t>
  </si>
  <si>
    <t>S00236</t>
  </si>
  <si>
    <t>P5794</t>
  </si>
  <si>
    <t>Rodriguezkathleen</t>
  </si>
  <si>
    <t>S00237</t>
  </si>
  <si>
    <t>P4427</t>
  </si>
  <si>
    <t>Nelsonbrandon</t>
  </si>
  <si>
    <t>S00241</t>
  </si>
  <si>
    <t>P9330</t>
  </si>
  <si>
    <t>Susan69</t>
  </si>
  <si>
    <t>S00247</t>
  </si>
  <si>
    <t>P3394</t>
  </si>
  <si>
    <t>Moyerdanny</t>
  </si>
  <si>
    <t>S00249</t>
  </si>
  <si>
    <t>P3780</t>
  </si>
  <si>
    <t>Zacharygonzales</t>
  </si>
  <si>
    <t>S00251</t>
  </si>
  <si>
    <t>P6820</t>
  </si>
  <si>
    <t>Espinozajennifer</t>
  </si>
  <si>
    <t>S00256</t>
  </si>
  <si>
    <t>P7433</t>
  </si>
  <si>
    <t>Wsanders</t>
  </si>
  <si>
    <t>S00257</t>
  </si>
  <si>
    <t>P8958</t>
  </si>
  <si>
    <t>Dunnmelissa</t>
  </si>
  <si>
    <t>S00259</t>
  </si>
  <si>
    <t>P8750</t>
  </si>
  <si>
    <t>Garciaisabel</t>
  </si>
  <si>
    <t>S00260</t>
  </si>
  <si>
    <t>Rsuarez</t>
  </si>
  <si>
    <t>S00262</t>
  </si>
  <si>
    <t>P3905</t>
  </si>
  <si>
    <t>Stephen73</t>
  </si>
  <si>
    <t>S00266</t>
  </si>
  <si>
    <t>P4801</t>
  </si>
  <si>
    <t>Annaroy</t>
  </si>
  <si>
    <t>S00268</t>
  </si>
  <si>
    <t>P4625</t>
  </si>
  <si>
    <t>Maryrodriguez</t>
  </si>
  <si>
    <t>S00270</t>
  </si>
  <si>
    <t>P9094</t>
  </si>
  <si>
    <t>Nsmith</t>
  </si>
  <si>
    <t>S00273</t>
  </si>
  <si>
    <t>P5122</t>
  </si>
  <si>
    <t>Ronaldkennedy</t>
  </si>
  <si>
    <t>S00286</t>
  </si>
  <si>
    <t>P1653</t>
  </si>
  <si>
    <t>Jeffreybaker</t>
  </si>
  <si>
    <t>S00289</t>
  </si>
  <si>
    <t>P6334</t>
  </si>
  <si>
    <t>Erictrujillo</t>
  </si>
  <si>
    <t>S00293</t>
  </si>
  <si>
    <t>P6122</t>
  </si>
  <si>
    <t>Browndenise</t>
  </si>
  <si>
    <t>S00294</t>
  </si>
  <si>
    <t>P2984</t>
  </si>
  <si>
    <t>Jenniferrollins</t>
  </si>
  <si>
    <t>S00299</t>
  </si>
  <si>
    <t>P2792</t>
  </si>
  <si>
    <t>Rileyjohn</t>
  </si>
  <si>
    <t>S00306</t>
  </si>
  <si>
    <t>P2906</t>
  </si>
  <si>
    <t>Jacob24</t>
  </si>
  <si>
    <t>S00309</t>
  </si>
  <si>
    <t>P8611</t>
  </si>
  <si>
    <t>Cheyennebenton</t>
  </si>
  <si>
    <t>S00312</t>
  </si>
  <si>
    <t>P5060</t>
  </si>
  <si>
    <t>Fmason</t>
  </si>
  <si>
    <t>S00321</t>
  </si>
  <si>
    <t>P3964</t>
  </si>
  <si>
    <t>Kristopheralvarez</t>
  </si>
  <si>
    <t>S00323</t>
  </si>
  <si>
    <t>P7890</t>
  </si>
  <si>
    <t>Bobbyanderson</t>
  </si>
  <si>
    <t>S00329</t>
  </si>
  <si>
    <t>P3169</t>
  </si>
  <si>
    <t>Ethankaufman</t>
  </si>
  <si>
    <t>S00331</t>
  </si>
  <si>
    <t>P1496</t>
  </si>
  <si>
    <t>Newtonjose</t>
  </si>
  <si>
    <t>S00333</t>
  </si>
  <si>
    <t>P8963</t>
  </si>
  <si>
    <t>Justin27</t>
  </si>
  <si>
    <t>S00334</t>
  </si>
  <si>
    <t>P1470</t>
  </si>
  <si>
    <t>Jonesjames</t>
  </si>
  <si>
    <t>S00337</t>
  </si>
  <si>
    <t>P2974</t>
  </si>
  <si>
    <t>Maciasronald</t>
  </si>
  <si>
    <t>S00339</t>
  </si>
  <si>
    <t>P1806</t>
  </si>
  <si>
    <t>Michael88</t>
  </si>
  <si>
    <t>S00341</t>
  </si>
  <si>
    <t>P7017</t>
  </si>
  <si>
    <t>Smartin</t>
  </si>
  <si>
    <t>S00343</t>
  </si>
  <si>
    <t>P6916</t>
  </si>
  <si>
    <t>Amber18</t>
  </si>
  <si>
    <t>S00344</t>
  </si>
  <si>
    <t>P9975</t>
  </si>
  <si>
    <t>Hollyjenkins</t>
  </si>
  <si>
    <t>S00346</t>
  </si>
  <si>
    <t>P4525</t>
  </si>
  <si>
    <t>Kellergregory</t>
  </si>
  <si>
    <t>S00347</t>
  </si>
  <si>
    <t>P8336</t>
  </si>
  <si>
    <t>Michellewilliams</t>
  </si>
  <si>
    <t>S00348</t>
  </si>
  <si>
    <t>P6418</t>
  </si>
  <si>
    <t>Ericmoore</t>
  </si>
  <si>
    <t>S00350</t>
  </si>
  <si>
    <t>P9081</t>
  </si>
  <si>
    <t>Brooke04</t>
  </si>
  <si>
    <t>S00351</t>
  </si>
  <si>
    <t>P7887</t>
  </si>
  <si>
    <t>Nicholas09</t>
  </si>
  <si>
    <t>S00353</t>
  </si>
  <si>
    <t>P2482</t>
  </si>
  <si>
    <t>Udavis</t>
  </si>
  <si>
    <t>S00355</t>
  </si>
  <si>
    <t>P2102</t>
  </si>
  <si>
    <t>Sarahlawrence</t>
  </si>
  <si>
    <t>S00361</t>
  </si>
  <si>
    <t>P8648</t>
  </si>
  <si>
    <t>Mfarley</t>
  </si>
  <si>
    <t>S00367</t>
  </si>
  <si>
    <t>P7375</t>
  </si>
  <si>
    <t>Morrisryan</t>
  </si>
  <si>
    <t>S00374</t>
  </si>
  <si>
    <t>P1603</t>
  </si>
  <si>
    <t>Rojasjennifer</t>
  </si>
  <si>
    <t>S00380</t>
  </si>
  <si>
    <t>P7023</t>
  </si>
  <si>
    <t>Jessicacisneros</t>
  </si>
  <si>
    <t>S00381</t>
  </si>
  <si>
    <t>P3795</t>
  </si>
  <si>
    <t>Shelbyvalencia</t>
  </si>
  <si>
    <t>S00382</t>
  </si>
  <si>
    <t>P6609</t>
  </si>
  <si>
    <t>Jonathan22</t>
  </si>
  <si>
    <t>S00385</t>
  </si>
  <si>
    <t>Rsutton</t>
  </si>
  <si>
    <t>S00387</t>
  </si>
  <si>
    <t>P2635</t>
  </si>
  <si>
    <t>Carol86</t>
  </si>
  <si>
    <t>S00391</t>
  </si>
  <si>
    <t>Williamsonkirsten</t>
  </si>
  <si>
    <t>S00394</t>
  </si>
  <si>
    <t>P6548</t>
  </si>
  <si>
    <t>Hillchristopher</t>
  </si>
  <si>
    <t>S00395</t>
  </si>
  <si>
    <t>P8926</t>
  </si>
  <si>
    <t>Ftyler</t>
  </si>
  <si>
    <t>S00400</t>
  </si>
  <si>
    <t>P1936</t>
  </si>
  <si>
    <t>Hoodchristopher</t>
  </si>
  <si>
    <t>S00402</t>
  </si>
  <si>
    <t>P1659</t>
  </si>
  <si>
    <t>Ffitzpatrick</t>
  </si>
  <si>
    <t>S00403</t>
  </si>
  <si>
    <t>P8982</t>
  </si>
  <si>
    <t>Dominiquejohnson</t>
  </si>
  <si>
    <t>S00404</t>
  </si>
  <si>
    <t>P4516</t>
  </si>
  <si>
    <t>Sellersgregory</t>
  </si>
  <si>
    <t>S00406</t>
  </si>
  <si>
    <t>P3545</t>
  </si>
  <si>
    <t>Barnettdonna</t>
  </si>
  <si>
    <t>S00409</t>
  </si>
  <si>
    <t>P2227</t>
  </si>
  <si>
    <t>Thomascorey</t>
  </si>
  <si>
    <t>S00412</t>
  </si>
  <si>
    <t>P4171</t>
  </si>
  <si>
    <t>Tdean</t>
  </si>
  <si>
    <t>S00414</t>
  </si>
  <si>
    <t>P4285</t>
  </si>
  <si>
    <t>Annettejackson</t>
  </si>
  <si>
    <t>S00417</t>
  </si>
  <si>
    <t>P5233</t>
  </si>
  <si>
    <t>Paige96</t>
  </si>
  <si>
    <t>S00418</t>
  </si>
  <si>
    <t>P5382</t>
  </si>
  <si>
    <t>Sabrina44</t>
  </si>
  <si>
    <t>S00420</t>
  </si>
  <si>
    <t>P8628</t>
  </si>
  <si>
    <t>Russochelsey</t>
  </si>
  <si>
    <t>S00425</t>
  </si>
  <si>
    <t>P6749</t>
  </si>
  <si>
    <t>Pmoore</t>
  </si>
  <si>
    <t>S00427</t>
  </si>
  <si>
    <t>P9104</t>
  </si>
  <si>
    <t>Melissa17</t>
  </si>
  <si>
    <t>S00428</t>
  </si>
  <si>
    <t>P5582</t>
  </si>
  <si>
    <t>Jennifer94</t>
  </si>
  <si>
    <t>S00433</t>
  </si>
  <si>
    <t>P1911</t>
  </si>
  <si>
    <t>Yvette50</t>
  </si>
  <si>
    <t>S00439</t>
  </si>
  <si>
    <t>P4812</t>
  </si>
  <si>
    <t>Thomas99</t>
  </si>
  <si>
    <t>S00440</t>
  </si>
  <si>
    <t>P5667</t>
  </si>
  <si>
    <t>Victoria39</t>
  </si>
  <si>
    <t>S00444</t>
  </si>
  <si>
    <t>P8787</t>
  </si>
  <si>
    <t>Jamesbarber</t>
  </si>
  <si>
    <t>S00451</t>
  </si>
  <si>
    <t>P5894</t>
  </si>
  <si>
    <t>Chendavid</t>
  </si>
  <si>
    <t>S00452</t>
  </si>
  <si>
    <t>P9365</t>
  </si>
  <si>
    <t>Rware</t>
  </si>
  <si>
    <t>S00453</t>
  </si>
  <si>
    <t>P7874</t>
  </si>
  <si>
    <t>Gloriajohnson</t>
  </si>
  <si>
    <t>S00459</t>
  </si>
  <si>
    <t>P5695</t>
  </si>
  <si>
    <t>Danielleonard</t>
  </si>
  <si>
    <t>S00460</t>
  </si>
  <si>
    <t>P6581</t>
  </si>
  <si>
    <t>Ramirezandrea</t>
  </si>
  <si>
    <t>S00461</t>
  </si>
  <si>
    <t>P4636</t>
  </si>
  <si>
    <t>Jeffreyjohnson</t>
  </si>
  <si>
    <t>S00462</t>
  </si>
  <si>
    <t>P2853</t>
  </si>
  <si>
    <t>Dannyforbes</t>
  </si>
  <si>
    <t>S00466</t>
  </si>
  <si>
    <t>P1450</t>
  </si>
  <si>
    <t>Jacob95</t>
  </si>
  <si>
    <t>S00471</t>
  </si>
  <si>
    <t>Leonwells</t>
  </si>
  <si>
    <t>S00472</t>
  </si>
  <si>
    <t>P7312</t>
  </si>
  <si>
    <t>Erika85</t>
  </si>
  <si>
    <t>S00473</t>
  </si>
  <si>
    <t>P3023</t>
  </si>
  <si>
    <t>Jonathonmayer</t>
  </si>
  <si>
    <t>S00474</t>
  </si>
  <si>
    <t>P4635</t>
  </si>
  <si>
    <t>Nicholas43</t>
  </si>
  <si>
    <t>S00475</t>
  </si>
  <si>
    <t>P8912</t>
  </si>
  <si>
    <t>Paula25</t>
  </si>
  <si>
    <t>S00480</t>
  </si>
  <si>
    <t>P7340</t>
  </si>
  <si>
    <t>Rogersmary</t>
  </si>
  <si>
    <t>S00487</t>
  </si>
  <si>
    <t>P2044</t>
  </si>
  <si>
    <t>Mckinneychristopher</t>
  </si>
  <si>
    <t>S00488</t>
  </si>
  <si>
    <t>P1977</t>
  </si>
  <si>
    <t>Elizabeth71</t>
  </si>
  <si>
    <t>S00489</t>
  </si>
  <si>
    <t>P1280</t>
  </si>
  <si>
    <t>Ilambert</t>
  </si>
  <si>
    <t>S00493</t>
  </si>
  <si>
    <t>P2133</t>
  </si>
  <si>
    <t>Simsalexis</t>
  </si>
  <si>
    <t>S00494</t>
  </si>
  <si>
    <t>P3534</t>
  </si>
  <si>
    <t>Kingsandra</t>
  </si>
  <si>
    <t>S00496</t>
  </si>
  <si>
    <t>P2872</t>
  </si>
  <si>
    <t>Turnersusan</t>
  </si>
  <si>
    <t>S00498</t>
  </si>
  <si>
    <t>P6771</t>
  </si>
  <si>
    <t>Victoria57</t>
  </si>
  <si>
    <t>S00500</t>
  </si>
  <si>
    <t>P4402</t>
  </si>
  <si>
    <t>harrisrichard</t>
  </si>
  <si>
    <t>wlee</t>
  </si>
  <si>
    <t>katie47</t>
  </si>
  <si>
    <t>isaac85</t>
  </si>
  <si>
    <t>ballarddouglas</t>
  </si>
  <si>
    <t>lrichardson</t>
  </si>
  <si>
    <t>holmesbruce</t>
  </si>
  <si>
    <t>lhansen</t>
  </si>
  <si>
    <t>alexis47</t>
  </si>
  <si>
    <t>ryanmarshall</t>
  </si>
  <si>
    <t>alexandriaparrish</t>
  </si>
  <si>
    <t>jacobhaynes</t>
  </si>
  <si>
    <t>xjoseph</t>
  </si>
  <si>
    <t>yjohnson</t>
  </si>
  <si>
    <t>lesliemiller</t>
  </si>
  <si>
    <t>raynatalie</t>
  </si>
  <si>
    <t>xtaylor</t>
  </si>
  <si>
    <t>aguilarjennifer</t>
  </si>
  <si>
    <t>lmeza</t>
  </si>
  <si>
    <t>michael06</t>
  </si>
  <si>
    <t>lawsonderrick</t>
  </si>
  <si>
    <t>icrawford</t>
  </si>
  <si>
    <t>david54</t>
  </si>
  <si>
    <t>rcraig</t>
  </si>
  <si>
    <t>kvasquez</t>
  </si>
  <si>
    <t>erica07</t>
  </si>
  <si>
    <t>owensoscar</t>
  </si>
  <si>
    <t>wlawson</t>
  </si>
  <si>
    <t>kevinruiz</t>
  </si>
  <si>
    <t>dlee</t>
  </si>
  <si>
    <t>rebekah64</t>
  </si>
  <si>
    <t>katherinejohnston</t>
  </si>
  <si>
    <t>odavis</t>
  </si>
  <si>
    <t>tylermiller</t>
  </si>
  <si>
    <t>sonya77</t>
  </si>
  <si>
    <t>sandyherman</t>
  </si>
  <si>
    <t>leahlee</t>
  </si>
  <si>
    <t>richardhooper</t>
  </si>
  <si>
    <t>jenniferwilcox</t>
  </si>
  <si>
    <t>bruce09</t>
  </si>
  <si>
    <t>tpark</t>
  </si>
  <si>
    <t>csanchez</t>
  </si>
  <si>
    <t>nnguyen</t>
  </si>
  <si>
    <t>vmooney</t>
  </si>
  <si>
    <t>jennifer87</t>
  </si>
  <si>
    <t>jcarter</t>
  </si>
  <si>
    <t>jlane</t>
  </si>
  <si>
    <t>nathan33</t>
  </si>
  <si>
    <t>owensjoseph</t>
  </si>
  <si>
    <t>griffinsarah</t>
  </si>
  <si>
    <t>petersonlacey</t>
  </si>
  <si>
    <t>cynthiapoole</t>
  </si>
  <si>
    <t>richardsjessica</t>
  </si>
  <si>
    <t>fforbes</t>
  </si>
  <si>
    <t>odonnelljennifer</t>
  </si>
  <si>
    <t>amylong</t>
  </si>
  <si>
    <t>usnyder</t>
  </si>
  <si>
    <t>dianaburgess</t>
  </si>
  <si>
    <t>joseph32</t>
  </si>
  <si>
    <t>fstewart</t>
  </si>
  <si>
    <t>sholmes</t>
  </si>
  <si>
    <t>charlesjohnson</t>
  </si>
  <si>
    <t>davischristopher</t>
  </si>
  <si>
    <t>jenniferarnold</t>
  </si>
  <si>
    <t>palmerashley</t>
  </si>
  <si>
    <t>mbowen</t>
  </si>
  <si>
    <t>harrisonsteven</t>
  </si>
  <si>
    <t>tinapreston</t>
  </si>
  <si>
    <t>claudiasilva</t>
  </si>
  <si>
    <t>noah21</t>
  </si>
  <si>
    <t>nwatkins</t>
  </si>
  <si>
    <t>martinderrick</t>
  </si>
  <si>
    <t>craiggail</t>
  </si>
  <si>
    <t>connerkevin</t>
  </si>
  <si>
    <t>fmayer</t>
  </si>
  <si>
    <t>bryantdawn</t>
  </si>
  <si>
    <t>lindsay74</t>
  </si>
  <si>
    <t>ehill</t>
  </si>
  <si>
    <t>hannah41</t>
  </si>
  <si>
    <t>bentonashley</t>
  </si>
  <si>
    <t>kellyhill</t>
  </si>
  <si>
    <t>tlloyd</t>
  </si>
  <si>
    <t>robinatkinson</t>
  </si>
  <si>
    <t>karen96</t>
  </si>
  <si>
    <t>mark79</t>
  </si>
  <si>
    <t>wayne88</t>
  </si>
  <si>
    <t>jack75</t>
  </si>
  <si>
    <t>shenderson</t>
  </si>
  <si>
    <t>manderson</t>
  </si>
  <si>
    <t>boylejeffrey</t>
  </si>
  <si>
    <t>justinvargas</t>
  </si>
  <si>
    <t>smullins</t>
  </si>
  <si>
    <t>cynthiasimmons</t>
  </si>
  <si>
    <t>qwatson</t>
  </si>
  <si>
    <t>xreed</t>
  </si>
  <si>
    <t>melanie00</t>
  </si>
  <si>
    <t>richardward</t>
  </si>
  <si>
    <t>riggsbarbara</t>
  </si>
  <si>
    <t>sroach</t>
  </si>
  <si>
    <t>jeffreyluna</t>
  </si>
  <si>
    <t>chavezmelissa</t>
  </si>
  <si>
    <t>qserrano</t>
  </si>
  <si>
    <t>angelabutler</t>
  </si>
  <si>
    <t>ggriffith</t>
  </si>
  <si>
    <t>chrisperkins</t>
  </si>
  <si>
    <t>blakewallace</t>
  </si>
  <si>
    <t>ismith</t>
  </si>
  <si>
    <t>amydunn</t>
  </si>
  <si>
    <t>awise</t>
  </si>
  <si>
    <t>jennifer33</t>
  </si>
  <si>
    <t>heatherpayne</t>
  </si>
  <si>
    <t>keithmaddox</t>
  </si>
  <si>
    <t>fuentesmelanie</t>
  </si>
  <si>
    <t>melissa89</t>
  </si>
  <si>
    <t>jill75</t>
  </si>
  <si>
    <t>vhart</t>
  </si>
  <si>
    <t>marilynharrison</t>
  </si>
  <si>
    <t>davisamy</t>
  </si>
  <si>
    <t>dorseyemily</t>
  </si>
  <si>
    <t>garymeyers</t>
  </si>
  <si>
    <t>elee</t>
  </si>
  <si>
    <t>jennifer29</t>
  </si>
  <si>
    <t>davidkelley</t>
  </si>
  <si>
    <t>haroldsawyer</t>
  </si>
  <si>
    <t>albertkelly</t>
  </si>
  <si>
    <t>chambersnicole</t>
  </si>
  <si>
    <t>jacobsonmichael</t>
  </si>
  <si>
    <t>robert48</t>
  </si>
  <si>
    <t>wyattsanchez</t>
  </si>
  <si>
    <t>vedwards</t>
  </si>
  <si>
    <t>figueroadoris</t>
  </si>
  <si>
    <t>briansteele</t>
  </si>
  <si>
    <t>huangdana</t>
  </si>
  <si>
    <t>robert23</t>
  </si>
  <si>
    <t>thomasmonica</t>
  </si>
  <si>
    <t>griffithbilly</t>
  </si>
  <si>
    <t>alanguerrero</t>
  </si>
  <si>
    <t>timothy18</t>
  </si>
  <si>
    <t>martinrobert</t>
  </si>
  <si>
    <t>deckeramanda</t>
  </si>
  <si>
    <t>allison25</t>
  </si>
  <si>
    <t>reedchad</t>
  </si>
  <si>
    <t>kennedyjacob</t>
  </si>
  <si>
    <t>robertohobbs</t>
  </si>
  <si>
    <t>michellemurphy</t>
  </si>
  <si>
    <t>castillowilliam</t>
  </si>
  <si>
    <t>manuel15</t>
  </si>
  <si>
    <t>melissa77</t>
  </si>
  <si>
    <t>pkim</t>
  </si>
  <si>
    <t>erinjones</t>
  </si>
  <si>
    <t>harrispamela</t>
  </si>
  <si>
    <t>onoble</t>
  </si>
  <si>
    <t>jamie88</t>
  </si>
  <si>
    <t>davidsingleton</t>
  </si>
  <si>
    <t>byrdevelyn</t>
  </si>
  <si>
    <t>ivan06</t>
  </si>
  <si>
    <t>gabriellogan</t>
  </si>
  <si>
    <t>gsmith</t>
  </si>
  <si>
    <t>morrismelissa</t>
  </si>
  <si>
    <t>courtneycarr</t>
  </si>
  <si>
    <t>thomasowens</t>
  </si>
  <si>
    <t>robertsoncynthia</t>
  </si>
  <si>
    <t>uhudson</t>
  </si>
  <si>
    <t>victoriastone</t>
  </si>
  <si>
    <t>adam91</t>
  </si>
  <si>
    <t>robertroberts</t>
  </si>
  <si>
    <t>walkerdeborah</t>
  </si>
  <si>
    <t>whitemary</t>
  </si>
  <si>
    <t>fray</t>
  </si>
  <si>
    <t>weaverdaniel</t>
  </si>
  <si>
    <t>joe22</t>
  </si>
  <si>
    <t>vaughnlori</t>
  </si>
  <si>
    <t>ambersmith</t>
  </si>
  <si>
    <t>okoch</t>
  </si>
  <si>
    <t>shannonevans</t>
  </si>
  <si>
    <t>gina94</t>
  </si>
  <si>
    <t>iyoung</t>
  </si>
  <si>
    <t>matthewcasey</t>
  </si>
  <si>
    <t>smayo</t>
  </si>
  <si>
    <t>douglas13</t>
  </si>
  <si>
    <t>bakerjohn</t>
  </si>
  <si>
    <t>brianlopez</t>
  </si>
  <si>
    <t>troberts</t>
  </si>
  <si>
    <t>robertmassey</t>
  </si>
  <si>
    <t>ynovak</t>
  </si>
  <si>
    <t>colinmartinez</t>
  </si>
  <si>
    <t>schultzkatherine</t>
  </si>
  <si>
    <t>romerostephanie</t>
  </si>
  <si>
    <t>otaylor</t>
  </si>
  <si>
    <t>snguyen</t>
  </si>
  <si>
    <t>christine87</t>
  </si>
  <si>
    <t>kerry23</t>
  </si>
  <si>
    <t>natashamartin</t>
  </si>
  <si>
    <t>rileyjason</t>
  </si>
  <si>
    <t>garciadanielle</t>
  </si>
  <si>
    <t>walterkayla</t>
  </si>
  <si>
    <t>henryrosales</t>
  </si>
  <si>
    <t>nrichmond</t>
  </si>
  <si>
    <t>andrewbrown</t>
  </si>
  <si>
    <t>qmills</t>
  </si>
  <si>
    <t>qcarrillo</t>
  </si>
  <si>
    <t>mcdanielautumn</t>
  </si>
  <si>
    <t>jperkins</t>
  </si>
  <si>
    <t>hernandezmichael</t>
  </si>
  <si>
    <t>xpadilla</t>
  </si>
  <si>
    <t>wjohnson</t>
  </si>
  <si>
    <t>darren53</t>
  </si>
  <si>
    <t>nathanielchavez</t>
  </si>
  <si>
    <t>selliott</t>
  </si>
  <si>
    <t>elowe</t>
  </si>
  <si>
    <t>edwardsjohn</t>
  </si>
  <si>
    <t>sheilawatkins</t>
  </si>
  <si>
    <t>nicholas77</t>
  </si>
  <si>
    <t>alexandermoore</t>
  </si>
  <si>
    <t>william77</t>
  </si>
  <si>
    <t>michelle54</t>
  </si>
  <si>
    <t>quinncaroline</t>
  </si>
  <si>
    <t>hlucas</t>
  </si>
  <si>
    <t>davisdevin</t>
  </si>
  <si>
    <t>tonyachristensen</t>
  </si>
  <si>
    <t>shawna86</t>
  </si>
  <si>
    <t>scott81</t>
  </si>
  <si>
    <t>kellyrichardson</t>
  </si>
  <si>
    <t>jeansmall</t>
  </si>
  <si>
    <t>richard18</t>
  </si>
  <si>
    <t>jayroberts</t>
  </si>
  <si>
    <t>lpowers</t>
  </si>
  <si>
    <t>thomas60</t>
  </si>
  <si>
    <t>zjames</t>
  </si>
  <si>
    <t>zhopkins</t>
  </si>
  <si>
    <t>melissa94</t>
  </si>
  <si>
    <t>pottsdavid</t>
  </si>
  <si>
    <t>zmartin</t>
  </si>
  <si>
    <t>joseph76</t>
  </si>
  <si>
    <t>deannanewman</t>
  </si>
  <si>
    <t>rodriguezkathleen</t>
  </si>
  <si>
    <t>nelsonbrandon</t>
  </si>
  <si>
    <t>wrightjulia</t>
  </si>
  <si>
    <t>zthomas</t>
  </si>
  <si>
    <t>fmay</t>
  </si>
  <si>
    <t>susan69</t>
  </si>
  <si>
    <t>anthony60</t>
  </si>
  <si>
    <t>mercedesyoung</t>
  </si>
  <si>
    <t>tracy64</t>
  </si>
  <si>
    <t>carpenterjohn</t>
  </si>
  <si>
    <t>alexwilson</t>
  </si>
  <si>
    <t>moyerdanny</t>
  </si>
  <si>
    <t>joshuasmith</t>
  </si>
  <si>
    <t>zacharygonzales</t>
  </si>
  <si>
    <t>coxlauren</t>
  </si>
  <si>
    <t>espinozajennifer</t>
  </si>
  <si>
    <t>jackbarnes</t>
  </si>
  <si>
    <t>juanjones</t>
  </si>
  <si>
    <t>georgewarren</t>
  </si>
  <si>
    <t>danieldonaldson</t>
  </si>
  <si>
    <t>wsanders</t>
  </si>
  <si>
    <t>dunnmelissa</t>
  </si>
  <si>
    <t>hporter</t>
  </si>
  <si>
    <t>garciaisabel</t>
  </si>
  <si>
    <t>rsuarez</t>
  </si>
  <si>
    <t>murrayaaron</t>
  </si>
  <si>
    <t>stephen73</t>
  </si>
  <si>
    <t>iadkins</t>
  </si>
  <si>
    <t>smithshawn</t>
  </si>
  <si>
    <t>vanessasmith</t>
  </si>
  <si>
    <t>annaroy</t>
  </si>
  <si>
    <t>dfloyd</t>
  </si>
  <si>
    <t>maryrodriguez</t>
  </si>
  <si>
    <t>tamarafowler</t>
  </si>
  <si>
    <t>nsmith</t>
  </si>
  <si>
    <t>matthew23</t>
  </si>
  <si>
    <t>mmorgan</t>
  </si>
  <si>
    <t>ronaldkennedy</t>
  </si>
  <si>
    <t>megan08</t>
  </si>
  <si>
    <t>kcook</t>
  </si>
  <si>
    <t>donovantrevor</t>
  </si>
  <si>
    <t>melanie33</t>
  </si>
  <si>
    <t>foxdawn</t>
  </si>
  <si>
    <t>walkernathan</t>
  </si>
  <si>
    <t>leslie88</t>
  </si>
  <si>
    <t>brandon14</t>
  </si>
  <si>
    <t>carmenbutler</t>
  </si>
  <si>
    <t>monicaharris</t>
  </si>
  <si>
    <t>john69</t>
  </si>
  <si>
    <t>ryan43</t>
  </si>
  <si>
    <t>jeffreybaker</t>
  </si>
  <si>
    <t>floresnatalie</t>
  </si>
  <si>
    <t>tyler13</t>
  </si>
  <si>
    <t>erictrujillo</t>
  </si>
  <si>
    <t>wanda82</t>
  </si>
  <si>
    <t>raymondjenna</t>
  </si>
  <si>
    <t>cassandrarice</t>
  </si>
  <si>
    <t>browndenise</t>
  </si>
  <si>
    <t>jenniferrollins</t>
  </si>
  <si>
    <t>sbrown</t>
  </si>
  <si>
    <t>kevin42</t>
  </si>
  <si>
    <t>yrichardson</t>
  </si>
  <si>
    <t>yperez</t>
  </si>
  <si>
    <t>rileyjohn</t>
  </si>
  <si>
    <t>smallalice</t>
  </si>
  <si>
    <t>nicole11</t>
  </si>
  <si>
    <t>elizabeth99</t>
  </si>
  <si>
    <t>hornjoshua</t>
  </si>
  <si>
    <t>thomas29</t>
  </si>
  <si>
    <t>davidmendoza</t>
  </si>
  <si>
    <t>jacob24</t>
  </si>
  <si>
    <t>nthompson</t>
  </si>
  <si>
    <t>ogarcia</t>
  </si>
  <si>
    <t>cheyennebenton</t>
  </si>
  <si>
    <t>owenssherry</t>
  </si>
  <si>
    <t>tbarker</t>
  </si>
  <si>
    <t>fmason</t>
  </si>
  <si>
    <t>jameswanda</t>
  </si>
  <si>
    <t>dennis63</t>
  </si>
  <si>
    <t>coreyperez</t>
  </si>
  <si>
    <t>gonzalezcindy</t>
  </si>
  <si>
    <t>millersarah</t>
  </si>
  <si>
    <t>thompsontodd</t>
  </si>
  <si>
    <t>waltersnicholas</t>
  </si>
  <si>
    <t>hharris</t>
  </si>
  <si>
    <t>kristopheralvarez</t>
  </si>
  <si>
    <t>emilyking</t>
  </si>
  <si>
    <t>bobbyanderson</t>
  </si>
  <si>
    <t>erinhansen</t>
  </si>
  <si>
    <t>gerald82</t>
  </si>
  <si>
    <t>jeffreyjimenez</t>
  </si>
  <si>
    <t>lcase</t>
  </si>
  <si>
    <t>jonathan53</t>
  </si>
  <si>
    <t>ethankaufman</t>
  </si>
  <si>
    <t>jessica34</t>
  </si>
  <si>
    <t>newtonjose</t>
  </si>
  <si>
    <t>johnsonjulie</t>
  </si>
  <si>
    <t>justin27</t>
  </si>
  <si>
    <t>jonesjames</t>
  </si>
  <si>
    <t>melissa44</t>
  </si>
  <si>
    <t>jack69</t>
  </si>
  <si>
    <t>maciasronald</t>
  </si>
  <si>
    <t>douglasluke</t>
  </si>
  <si>
    <t>michael88</t>
  </si>
  <si>
    <t>terrychristina</t>
  </si>
  <si>
    <t>smartin</t>
  </si>
  <si>
    <t>davisheather</t>
  </si>
  <si>
    <t>amber18</t>
  </si>
  <si>
    <t>hollyjenkins</t>
  </si>
  <si>
    <t>parkerpatricia</t>
  </si>
  <si>
    <t>kellergregory</t>
  </si>
  <si>
    <t>michellewilliams</t>
  </si>
  <si>
    <t>ericmoore</t>
  </si>
  <si>
    <t>angelaramsey</t>
  </si>
  <si>
    <t>brooke04</t>
  </si>
  <si>
    <t>nicholas09</t>
  </si>
  <si>
    <t>boonekristen</t>
  </si>
  <si>
    <t>udavis</t>
  </si>
  <si>
    <t>jmcknight</t>
  </si>
  <si>
    <t>sarahlawrence</t>
  </si>
  <si>
    <t>hardychristopher</t>
  </si>
  <si>
    <t>sara36</t>
  </si>
  <si>
    <t>leestewart</t>
  </si>
  <si>
    <t>lisacoffey</t>
  </si>
  <si>
    <t>popelance</t>
  </si>
  <si>
    <t>mfarley</t>
  </si>
  <si>
    <t>ruizkimberly</t>
  </si>
  <si>
    <t>andersonwilliam</t>
  </si>
  <si>
    <t>andrewtran</t>
  </si>
  <si>
    <t>lynchtina</t>
  </si>
  <si>
    <t>kelly45</t>
  </si>
  <si>
    <t>morrisryan</t>
  </si>
  <si>
    <t>aryan</t>
  </si>
  <si>
    <t>huntlawrence</t>
  </si>
  <si>
    <t>parkzachary</t>
  </si>
  <si>
    <t>amandarogers</t>
  </si>
  <si>
    <t>bharris</t>
  </si>
  <si>
    <t>rojasjennifer</t>
  </si>
  <si>
    <t>christopher10</t>
  </si>
  <si>
    <t>monique85</t>
  </si>
  <si>
    <t>hhuff</t>
  </si>
  <si>
    <t>caitlingonzales</t>
  </si>
  <si>
    <t>tdavis</t>
  </si>
  <si>
    <t>jessicacisneros</t>
  </si>
  <si>
    <t>shelbyvalencia</t>
  </si>
  <si>
    <t>jonathan22</t>
  </si>
  <si>
    <t>derrickbuck</t>
  </si>
  <si>
    <t>zvargas</t>
  </si>
  <si>
    <t>rsutton</t>
  </si>
  <si>
    <t>olopez</t>
  </si>
  <si>
    <t>carol86</t>
  </si>
  <si>
    <t>lisabarber</t>
  </si>
  <si>
    <t>howardsamantha</t>
  </si>
  <si>
    <t>lance41</t>
  </si>
  <si>
    <t>williamsonkirsten</t>
  </si>
  <si>
    <t>bellraymond</t>
  </si>
  <si>
    <t>steven30</t>
  </si>
  <si>
    <t>hillchristopher</t>
  </si>
  <si>
    <t>ftyler</t>
  </si>
  <si>
    <t>soliskyle</t>
  </si>
  <si>
    <t>angelicawillis</t>
  </si>
  <si>
    <t>aprince</t>
  </si>
  <si>
    <t>dylanblack</t>
  </si>
  <si>
    <t>hoodchristopher</t>
  </si>
  <si>
    <t>sandraclark</t>
  </si>
  <si>
    <t>ffitzpatrick</t>
  </si>
  <si>
    <t>dominiquejohnson</t>
  </si>
  <si>
    <t>sellersgregory</t>
  </si>
  <si>
    <t>armstrongmary</t>
  </si>
  <si>
    <t>barnettdonna</t>
  </si>
  <si>
    <t>melissaphillips</t>
  </si>
  <si>
    <t>hoffmandaniel</t>
  </si>
  <si>
    <t>thomascorey</t>
  </si>
  <si>
    <t>thomas01</t>
  </si>
  <si>
    <t>riddleaaron</t>
  </si>
  <si>
    <t>tdean</t>
  </si>
  <si>
    <t>bruce10</t>
  </si>
  <si>
    <t>annettejackson</t>
  </si>
  <si>
    <t>kingtroy</t>
  </si>
  <si>
    <t>coxanthony</t>
  </si>
  <si>
    <t>paige96</t>
  </si>
  <si>
    <t>sabrina44</t>
  </si>
  <si>
    <t>neilmorrison</t>
  </si>
  <si>
    <t>russochelsey</t>
  </si>
  <si>
    <t>pwright</t>
  </si>
  <si>
    <t>samantha20</t>
  </si>
  <si>
    <t>johnsonandrea</t>
  </si>
  <si>
    <t>nramos</t>
  </si>
  <si>
    <t>pmoore</t>
  </si>
  <si>
    <t>enielsen</t>
  </si>
  <si>
    <t>melissa17</t>
  </si>
  <si>
    <t>jennifer94</t>
  </si>
  <si>
    <t>twashington</t>
  </si>
  <si>
    <t>brian05</t>
  </si>
  <si>
    <t>emilynelson</t>
  </si>
  <si>
    <t>kacosta</t>
  </si>
  <si>
    <t>yvette50</t>
  </si>
  <si>
    <t>lisajames</t>
  </si>
  <si>
    <t>linda22</t>
  </si>
  <si>
    <t>gregbaker</t>
  </si>
  <si>
    <t>sheila89</t>
  </si>
  <si>
    <t>pweaver</t>
  </si>
  <si>
    <t>thomas99</t>
  </si>
  <si>
    <t>victoria39</t>
  </si>
  <si>
    <t>ecooley</t>
  </si>
  <si>
    <t>brenda52</t>
  </si>
  <si>
    <t>zmendoza</t>
  </si>
  <si>
    <t>jamesbarber</t>
  </si>
  <si>
    <t>caitlinmiller</t>
  </si>
  <si>
    <t>davidhunt</t>
  </si>
  <si>
    <t>fsteele</t>
  </si>
  <si>
    <t>keithunderwood</t>
  </si>
  <si>
    <t>hernandezcatherine</t>
  </si>
  <si>
    <t>bherrera</t>
  </si>
  <si>
    <t>chendavid</t>
  </si>
  <si>
    <t>rware</t>
  </si>
  <si>
    <t>gloriajohnson</t>
  </si>
  <si>
    <t>allenvictor</t>
  </si>
  <si>
    <t>sheiladavis</t>
  </si>
  <si>
    <t>tgill</t>
  </si>
  <si>
    <t>lindagalloway</t>
  </si>
  <si>
    <t>jbriggs</t>
  </si>
  <si>
    <t>danielleonard</t>
  </si>
  <si>
    <t>ramirezandrea</t>
  </si>
  <si>
    <t>jeffreyjohnson</t>
  </si>
  <si>
    <t>dannyforbes</t>
  </si>
  <si>
    <t>wallacedebra</t>
  </si>
  <si>
    <t>jennifersmith</t>
  </si>
  <si>
    <t>steven19</t>
  </si>
  <si>
    <t>jacob95</t>
  </si>
  <si>
    <t>mlewis</t>
  </si>
  <si>
    <t>charles59</t>
  </si>
  <si>
    <t>kgonzalez</t>
  </si>
  <si>
    <t>marcus01</t>
  </si>
  <si>
    <t>leonwells</t>
  </si>
  <si>
    <t>erika85</t>
  </si>
  <si>
    <t>jonathonmayer</t>
  </si>
  <si>
    <t>nicholas43</t>
  </si>
  <si>
    <t>paula25</t>
  </si>
  <si>
    <t>smithcarrie</t>
  </si>
  <si>
    <t>valenzuelakim</t>
  </si>
  <si>
    <t>adamsbarbara</t>
  </si>
  <si>
    <t>cathy10</t>
  </si>
  <si>
    <t>rogersmary</t>
  </si>
  <si>
    <t>georgejones</t>
  </si>
  <si>
    <t>donna27</t>
  </si>
  <si>
    <t>jhayes</t>
  </si>
  <si>
    <t>neallisa</t>
  </si>
  <si>
    <t>evanskristen</t>
  </si>
  <si>
    <t>bhenson</t>
  </si>
  <si>
    <t>hgardner</t>
  </si>
  <si>
    <t>mckinneychristopher</t>
  </si>
  <si>
    <t>elizabeth71</t>
  </si>
  <si>
    <t>ilambert</t>
  </si>
  <si>
    <t>millerdonald</t>
  </si>
  <si>
    <t>krogers</t>
  </si>
  <si>
    <t>scott72</t>
  </si>
  <si>
    <t>simsalexis</t>
  </si>
  <si>
    <t>kingsandra</t>
  </si>
  <si>
    <t>april12</t>
  </si>
  <si>
    <t>turnersusan</t>
  </si>
  <si>
    <t>kenneth92</t>
  </si>
  <si>
    <t>victoria57</t>
  </si>
  <si>
    <t>fnolan</t>
  </si>
  <si>
    <r>
      <rPr>
        <b/>
        <sz val="36"/>
        <color theme="1"/>
        <rFont val="Calibri"/>
        <charset val="134"/>
        <scheme val="minor"/>
      </rPr>
      <t xml:space="preserve">  </t>
    </r>
    <r>
      <rPr>
        <b/>
        <u/>
        <sz val="36"/>
        <color theme="1"/>
        <rFont val="Calibri"/>
        <charset val="134"/>
        <scheme val="minor"/>
      </rPr>
      <t>Gaming Analytics Dashboard Using Excel</t>
    </r>
  </si>
  <si>
    <t xml:space="preserve">                         Purchase Behavior Split</t>
  </si>
  <si>
    <t xml:space="preserve">            Suspicious Activity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</si>
</sst>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u/>
      <sz val="36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ourier New"/>
      <charset val="134"/>
    </font>
    <font>
      <b/>
      <sz val="15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1" xfId="0" applyFont="1" applyBorder="1" applyAlignment="1">
      <alignment horizontal="center" vertical="top"/>
    </xf>
    <xf numFmtId="166" fontId="0" fillId="0" borderId="0" xfId="0" applyNumberFormat="1"/>
    <xf numFmtId="0" fontId="5" fillId="0" borderId="2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10" Type="http://schemas.microsoft.com/office/2007/relationships/slicerCache" Target="slicerCaches/slicerCach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Tables!$A$4:$A$11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Tables!$B$4:$B$11</c:f>
              <c:numCache>
                <c:formatCode>General</c:formatCode>
                <c:ptCount val="7"/>
                <c:pt idx="0">
                  <c:v>35</c:v>
                </c:pt>
                <c:pt idx="1">
                  <c:v>65</c:v>
                </c:pt>
                <c:pt idx="2">
                  <c:v>42</c:v>
                </c:pt>
                <c:pt idx="3">
                  <c:v>46</c:v>
                </c:pt>
                <c:pt idx="4">
                  <c:v>47</c:v>
                </c:pt>
                <c:pt idx="5">
                  <c:v>70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3-4A7E-9FEC-E70C9CDA4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496575"/>
        <c:axId val="953496991"/>
      </c:barChart>
      <c:catAx>
        <c:axId val="95349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96991"/>
        <c:crosses val="autoZero"/>
        <c:auto val="1"/>
        <c:lblAlgn val="ctr"/>
        <c:lblOffset val="100"/>
        <c:noMultiLvlLbl val="0"/>
      </c:catAx>
      <c:valAx>
        <c:axId val="9534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9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7e7ffb-a4a2-4744-8a6b-1a0e3b7dab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Tables!$D$4:$D$5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Tables!$E$4:$E$5</c:f>
              <c:numCache>
                <c:formatCode>General</c:formatCode>
                <c:ptCount val="1"/>
                <c:pt idx="0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B-4F97-BB30-79A35EFCB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83567"/>
        <c:axId val="36088143"/>
      </c:barChart>
      <c:catAx>
        <c:axId val="360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143"/>
        <c:crosses val="autoZero"/>
        <c:auto val="1"/>
        <c:lblAlgn val="ctr"/>
        <c:lblOffset val="100"/>
        <c:noMultiLvlLbl val="0"/>
      </c:catAx>
      <c:valAx>
        <c:axId val="360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fcc184-1b07-4d09-8cdf-e3d12a9987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Tables!$I$3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FA-4304-8C89-0CD8D5DC5D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FA-4304-8C89-0CD8D5DC5D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Tables!$H$4:$H$6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Tables!$I$4:$I$6</c:f>
              <c:numCache>
                <c:formatCode>General</c:formatCode>
                <c:ptCount val="2"/>
                <c:pt idx="0">
                  <c:v>265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FA-4304-8C89-0CD8D5DC5DA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aaaa66-95f3-4865-86cd-2b9106259a99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dashboard.xlsx]Tables!PivotTable4</c:name>
    <c:fmtId val="2"/>
  </c:pivotSource>
  <c:chart>
    <c:autoTitleDeleted val="1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Tables!$B$15:$B$16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Tables!$A$17:$A$24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Tables!$B$17:$B$24</c:f>
              <c:numCache>
                <c:formatCode>General</c:formatCode>
                <c:ptCount val="7"/>
                <c:pt idx="0">
                  <c:v>30</c:v>
                </c:pt>
                <c:pt idx="1">
                  <c:v>56</c:v>
                </c:pt>
                <c:pt idx="2">
                  <c:v>32</c:v>
                </c:pt>
                <c:pt idx="3">
                  <c:v>39</c:v>
                </c:pt>
                <c:pt idx="4">
                  <c:v>37</c:v>
                </c:pt>
                <c:pt idx="5">
                  <c:v>53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9-423E-A1CB-71E5157F7528}"/>
            </c:ext>
          </c:extLst>
        </c:ser>
        <c:ser>
          <c:idx val="1"/>
          <c:order val="1"/>
          <c:tx>
            <c:strRef>
              <c:f>Tables!$C$15:$C$16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Tables!$A$17:$A$24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Tables!$C$17:$C$24</c:f>
              <c:numCache>
                <c:formatCode>General</c:formatCode>
                <c:ptCount val="7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7</c:v>
                </c:pt>
                <c:pt idx="4">
                  <c:v>10</c:v>
                </c:pt>
                <c:pt idx="5">
                  <c:v>17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9-423E-A1CB-71E5157F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86815"/>
        <c:axId val="119987647"/>
      </c:barChart>
      <c:catAx>
        <c:axId val="11998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7647"/>
        <c:crosses val="autoZero"/>
        <c:auto val="1"/>
        <c:lblAlgn val="ctr"/>
        <c:lblOffset val="100"/>
        <c:noMultiLvlLbl val="0"/>
      </c:catAx>
      <c:valAx>
        <c:axId val="1199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b572a6-2983-4b9e-bda3-82210c4dce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dashboard.xlsx]Tables!PivotTable5</c:name>
    <c:fmtId val="2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Tables!$G$15:$G$16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Tables!$F$17:$F$18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Tables!$G$17:$G$18</c:f>
              <c:numCache>
                <c:formatCode>General</c:formatCode>
                <c:ptCount val="1"/>
                <c:pt idx="0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2-47FD-8DCA-D4125564121F}"/>
            </c:ext>
          </c:extLst>
        </c:ser>
        <c:ser>
          <c:idx val="1"/>
          <c:order val="1"/>
          <c:tx>
            <c:strRef>
              <c:f>Tables!$H$15:$H$16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Tables!$F$17:$F$18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Tables!$H$17:$H$18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2-47FD-8DCA-D41255641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6320847"/>
        <c:axId val="1106322927"/>
      </c:barChart>
      <c:catAx>
        <c:axId val="110632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22927"/>
        <c:crosses val="autoZero"/>
        <c:auto val="1"/>
        <c:lblAlgn val="ctr"/>
        <c:lblOffset val="100"/>
        <c:noMultiLvlLbl val="0"/>
      </c:catAx>
      <c:valAx>
        <c:axId val="110632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4149be-b05e-4775-b690-6ced5749e3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Tables!$M$15:$M$16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B-453A-89A9-26610D2D86FE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B-453A-89A9-26610D2D86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7B-453A-89A9-26610D2D86F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7B-453A-89A9-26610D2D86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7B-453A-89A9-26610D2D86FE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7B-453A-89A9-26610D2D86FE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7B-453A-89A9-26610D2D86FE}"/>
              </c:ext>
            </c:extLst>
          </c:dPt>
          <c:cat>
            <c:strRef>
              <c:f>Tables!$L$17:$L$24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Tables!$M$17:$M$24</c:f>
              <c:numCache>
                <c:formatCode>General</c:formatCode>
                <c:ptCount val="7"/>
                <c:pt idx="0">
                  <c:v>20</c:v>
                </c:pt>
                <c:pt idx="1">
                  <c:v>47</c:v>
                </c:pt>
                <c:pt idx="2">
                  <c:v>30</c:v>
                </c:pt>
                <c:pt idx="3">
                  <c:v>30</c:v>
                </c:pt>
                <c:pt idx="4">
                  <c:v>37</c:v>
                </c:pt>
                <c:pt idx="5">
                  <c:v>50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07B-453A-89A9-26610D2D86FE}"/>
            </c:ext>
          </c:extLst>
        </c:ser>
        <c:ser>
          <c:idx val="1"/>
          <c:order val="1"/>
          <c:tx>
            <c:strRef>
              <c:f>Tables!$N$15:$N$16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07B-453A-89A9-26610D2D86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07B-453A-89A9-26610D2D86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07B-453A-89A9-26610D2D86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07B-453A-89A9-26610D2D86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07B-453A-89A9-26610D2D86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07B-453A-89A9-26610D2D86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07B-453A-89A9-26610D2D86FE}"/>
              </c:ext>
            </c:extLst>
          </c:dPt>
          <c:cat>
            <c:strRef>
              <c:f>Tables!$L$17:$L$24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Tables!$N$17:$N$24</c:f>
              <c:numCache>
                <c:formatCode>General</c:formatCode>
                <c:ptCount val="7"/>
                <c:pt idx="0">
                  <c:v>15</c:v>
                </c:pt>
                <c:pt idx="1">
                  <c:v>18</c:v>
                </c:pt>
                <c:pt idx="2">
                  <c:v>12</c:v>
                </c:pt>
                <c:pt idx="3">
                  <c:v>16</c:v>
                </c:pt>
                <c:pt idx="4">
                  <c:v>10</c:v>
                </c:pt>
                <c:pt idx="5">
                  <c:v>20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07B-453A-89A9-26610D2D8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2aedb2-2e4e-4eb6-9f29-026681a725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Monthly</a:t>
            </a:r>
            <a:r>
              <a:rPr lang="en-IN" sz="1800" b="1" baseline="0"/>
              <a:t> Purchase Trend</a:t>
            </a:r>
            <a:endParaRPr lang="en-IN" sz="1800" b="1"/>
          </a:p>
        </c:rich>
      </c:tx>
      <c:layout>
        <c:manualLayout>
          <c:xMode val="edge"/>
          <c:yMode val="edge"/>
          <c:x val="0.34510046020877799"/>
          <c:y val="9.3607167840147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Tables!$B$15:$B$16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Tables!$A$17:$A$24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Tables!$B$17:$B$24</c:f>
              <c:numCache>
                <c:formatCode>General</c:formatCode>
                <c:ptCount val="7"/>
                <c:pt idx="0">
                  <c:v>30</c:v>
                </c:pt>
                <c:pt idx="1">
                  <c:v>56</c:v>
                </c:pt>
                <c:pt idx="2">
                  <c:v>32</c:v>
                </c:pt>
                <c:pt idx="3">
                  <c:v>39</c:v>
                </c:pt>
                <c:pt idx="4">
                  <c:v>37</c:v>
                </c:pt>
                <c:pt idx="5">
                  <c:v>53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A-4AE7-A977-0F0D587E3AE9}"/>
            </c:ext>
          </c:extLst>
        </c:ser>
        <c:ser>
          <c:idx val="1"/>
          <c:order val="1"/>
          <c:tx>
            <c:strRef>
              <c:f>Tables!$C$15:$C$16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Tables!$A$17:$A$24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Tables!$C$17:$C$24</c:f>
              <c:numCache>
                <c:formatCode>General</c:formatCode>
                <c:ptCount val="7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7</c:v>
                </c:pt>
                <c:pt idx="4">
                  <c:v>10</c:v>
                </c:pt>
                <c:pt idx="5">
                  <c:v>17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A-4AE7-A977-0F0D587E3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86815"/>
        <c:axId val="119987647"/>
      </c:barChart>
      <c:catAx>
        <c:axId val="11998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7647"/>
        <c:crosses val="autoZero"/>
        <c:auto val="1"/>
        <c:lblAlgn val="ctr"/>
        <c:lblOffset val="100"/>
        <c:noMultiLvlLbl val="0"/>
      </c:catAx>
      <c:valAx>
        <c:axId val="11998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826259-3b65-43d3-91dd-2e42e63945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Monthly</a:t>
            </a:r>
            <a:r>
              <a:rPr lang="en-IN" sz="1800" b="1" baseline="0"/>
              <a:t> Active Players</a:t>
            </a:r>
            <a:r>
              <a:rPr lang="en-IN" sz="1800" b="1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Tables!$A$4:$A$11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Tables!$B$4:$B$11</c:f>
              <c:numCache>
                <c:formatCode>General</c:formatCode>
                <c:ptCount val="7"/>
                <c:pt idx="0">
                  <c:v>35</c:v>
                </c:pt>
                <c:pt idx="1">
                  <c:v>65</c:v>
                </c:pt>
                <c:pt idx="2">
                  <c:v>42</c:v>
                </c:pt>
                <c:pt idx="3">
                  <c:v>46</c:v>
                </c:pt>
                <c:pt idx="4">
                  <c:v>47</c:v>
                </c:pt>
                <c:pt idx="5">
                  <c:v>70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5-456E-8709-42ECDEC5A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496575"/>
        <c:axId val="953496991"/>
      </c:lineChart>
      <c:catAx>
        <c:axId val="953496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96991"/>
        <c:crosses val="autoZero"/>
        <c:auto val="1"/>
        <c:lblAlgn val="ctr"/>
        <c:lblOffset val="100"/>
        <c:noMultiLvlLbl val="0"/>
      </c:catAx>
      <c:valAx>
        <c:axId val="953496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9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18fd294-3cdc-45d1-a954-ddc534a971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dashboard.xlsx]Tables!PivotTable2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Engagment</a:t>
            </a:r>
            <a:r>
              <a:rPr lang="en-IN" b="1" baseline="0"/>
              <a:t> Level Distribution</a:t>
            </a:r>
            <a:r>
              <a:rPr lang="en-IN" b="1"/>
              <a:t>l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086925975040997E-2"/>
          <c:y val="0.17243677154739701"/>
          <c:w val="0.85808072685677195"/>
          <c:h val="0.69182932540358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Tables!$D$4:$D$5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Tables!$E$4:$E$5</c:f>
              <c:numCache>
                <c:formatCode>General</c:formatCode>
                <c:ptCount val="1"/>
                <c:pt idx="0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A-496F-8310-2539EC4F2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083567"/>
        <c:axId val="36088143"/>
      </c:barChart>
      <c:catAx>
        <c:axId val="360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143"/>
        <c:crosses val="autoZero"/>
        <c:auto val="1"/>
        <c:lblAlgn val="ctr"/>
        <c:lblOffset val="100"/>
        <c:noMultiLvlLbl val="0"/>
      </c:catAx>
      <c:valAx>
        <c:axId val="3608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3567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cdbc2e-dcab-49f5-a897-fd6d6f33560e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Suspicious</a:t>
            </a:r>
            <a:r>
              <a:rPr lang="en-IN" sz="1800" b="1" baseline="0"/>
              <a:t> behaviuour by Engagement Level</a:t>
            </a:r>
            <a:endParaRPr lang="en-IN" sz="1800" b="1"/>
          </a:p>
        </c:rich>
      </c:tx>
      <c:layout>
        <c:manualLayout>
          <c:xMode val="edge"/>
          <c:yMode val="edge"/>
          <c:x val="0.199220037861878"/>
          <c:y val="6.5871397992345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Tables!$G$15:$G$16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Tables!$F$17:$F$18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Tables!$G$17:$G$18</c:f>
              <c:numCache>
                <c:formatCode>General</c:formatCode>
                <c:ptCount val="1"/>
                <c:pt idx="0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F-41CB-B49C-DC68846DD9E0}"/>
            </c:ext>
          </c:extLst>
        </c:ser>
        <c:ser>
          <c:idx val="1"/>
          <c:order val="1"/>
          <c:tx>
            <c:strRef>
              <c:f>Tables!$H$15:$H$16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Tables!$F$17:$F$18</c:f>
              <c:strCache>
                <c:ptCount val="1"/>
                <c:pt idx="0">
                  <c:v>High</c:v>
                </c:pt>
              </c:strCache>
            </c:strRef>
          </c:cat>
          <c:val>
            <c:numRef>
              <c:f>Tables!$H$17:$H$18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F-41CB-B49C-DC68846DD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6320847"/>
        <c:axId val="1106322927"/>
      </c:barChart>
      <c:catAx>
        <c:axId val="110632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22927"/>
        <c:crosses val="autoZero"/>
        <c:auto val="1"/>
        <c:lblAlgn val="ctr"/>
        <c:lblOffset val="100"/>
        <c:noMultiLvlLbl val="0"/>
      </c:catAx>
      <c:valAx>
        <c:axId val="110632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1d156c-9f72-4fd5-9b04-6b192cd323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Purchase</a:t>
            </a:r>
            <a:r>
              <a:rPr lang="en-US" b="1" baseline="0"/>
              <a:t> Behaviour split</a:t>
            </a:r>
            <a:r>
              <a:rPr lang="en-US" b="1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4005351964633901E-2"/>
          <c:y val="0.22455107792576101"/>
          <c:w val="0.55362591873571099"/>
          <c:h val="0.77544892207423899"/>
        </c:manualLayout>
      </c:layout>
      <c:doughnutChart>
        <c:varyColors val="1"/>
        <c:ser>
          <c:idx val="0"/>
          <c:order val="0"/>
          <c:tx>
            <c:strRef>
              <c:f>Tables!$I$3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73-4783-B565-C0AF64FD65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73-4783-B565-C0AF64FD65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Tables!$H$4:$H$6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Tables!$I$4:$I$6</c:f>
              <c:numCache>
                <c:formatCode>General</c:formatCode>
                <c:ptCount val="2"/>
                <c:pt idx="0">
                  <c:v>265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73-4783-B565-C0AF64FD65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f8e3b2-024f-4498-8647-1cc1c3cc467d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dashboard.xlsx]Tables!PivotTable6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Tables!$M$15:$M$16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B1-449F-8C34-A5498B1A18FA}"/>
              </c:ext>
            </c:extLst>
          </c:dPt>
          <c:dPt>
            <c:idx val="1"/>
            <c:bubble3D val="0"/>
            <c:explosion val="16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B1-449F-8C34-A5498B1A18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B1-449F-8C34-A5498B1A18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B1-449F-8C34-A5498B1A18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B1-449F-8C34-A5498B1A18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B1-449F-8C34-A5498B1A18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2B1-449F-8C34-A5498B1A18FA}"/>
              </c:ext>
            </c:extLst>
          </c:dPt>
          <c:cat>
            <c:strRef>
              <c:f>Tables!$L$17:$L$24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Tables!$M$17:$M$24</c:f>
              <c:numCache>
                <c:formatCode>General</c:formatCode>
                <c:ptCount val="7"/>
                <c:pt idx="0">
                  <c:v>20</c:v>
                </c:pt>
                <c:pt idx="1">
                  <c:v>47</c:v>
                </c:pt>
                <c:pt idx="2">
                  <c:v>30</c:v>
                </c:pt>
                <c:pt idx="3">
                  <c:v>30</c:v>
                </c:pt>
                <c:pt idx="4">
                  <c:v>37</c:v>
                </c:pt>
                <c:pt idx="5">
                  <c:v>50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2B1-449F-8C34-A5498B1A18FA}"/>
            </c:ext>
          </c:extLst>
        </c:ser>
        <c:ser>
          <c:idx val="1"/>
          <c:order val="1"/>
          <c:tx>
            <c:strRef>
              <c:f>Tables!$N$15:$N$16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2B1-449F-8C34-A5498B1A18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2B1-449F-8C34-A5498B1A18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2B1-449F-8C34-A5498B1A18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2B1-449F-8C34-A5498B1A18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2B1-449F-8C34-A5498B1A18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2B1-449F-8C34-A5498B1A18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2B1-449F-8C34-A5498B1A18FA}"/>
              </c:ext>
            </c:extLst>
          </c:dPt>
          <c:cat>
            <c:strRef>
              <c:f>Tables!$L$17:$L$24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Tables!$N$17:$N$24</c:f>
              <c:numCache>
                <c:formatCode>General</c:formatCode>
                <c:ptCount val="7"/>
                <c:pt idx="0">
                  <c:v>15</c:v>
                </c:pt>
                <c:pt idx="1">
                  <c:v>18</c:v>
                </c:pt>
                <c:pt idx="2">
                  <c:v>12</c:v>
                </c:pt>
                <c:pt idx="3">
                  <c:v>16</c:v>
                </c:pt>
                <c:pt idx="4">
                  <c:v>10</c:v>
                </c:pt>
                <c:pt idx="5">
                  <c:v>20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2B1-449F-8C34-A5498B1A1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e20a2f-6d58-4773-a61a-7d7c9ace53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7</xdr:col>
      <xdr:colOff>423334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548038</xdr:colOff>
      <xdr:row>11</xdr:row>
      <xdr:rowOff>22822</xdr:rowOff>
    </xdr:from>
    <xdr:to>
      <xdr:col>17</xdr:col>
      <xdr:colOff>539749</xdr:colOff>
      <xdr:row>29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126999</xdr:colOff>
      <xdr:row>11</xdr:row>
      <xdr:rowOff>42586</xdr:rowOff>
    </xdr:from>
    <xdr:to>
      <xdr:col>28</xdr:col>
      <xdr:colOff>328084</xdr:colOff>
      <xdr:row>29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91807</xdr:colOff>
      <xdr:row>32</xdr:row>
      <xdr:rowOff>9180</xdr:rowOff>
    </xdr:from>
    <xdr:to>
      <xdr:col>7</xdr:col>
      <xdr:colOff>422313</xdr:colOff>
      <xdr:row>49</xdr:row>
      <xdr:rowOff>63499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9181</xdr:colOff>
      <xdr:row>32</xdr:row>
      <xdr:rowOff>36722</xdr:rowOff>
    </xdr:from>
    <xdr:to>
      <xdr:col>17</xdr:col>
      <xdr:colOff>476250</xdr:colOff>
      <xdr:row>49</xdr:row>
      <xdr:rowOff>21166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74083</xdr:colOff>
      <xdr:row>32</xdr:row>
      <xdr:rowOff>18361</xdr:rowOff>
    </xdr:from>
    <xdr:to>
      <xdr:col>28</xdr:col>
      <xdr:colOff>518583</xdr:colOff>
      <xdr:row>48</xdr:row>
      <xdr:rowOff>137583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25</xdr:col>
      <xdr:colOff>42931</xdr:colOff>
      <xdr:row>6</xdr:row>
      <xdr:rowOff>168501</xdr:rowOff>
    </xdr:from>
    <xdr:to>
      <xdr:col>28</xdr:col>
      <xdr:colOff>319212</xdr:colOff>
      <xdr:row>10</xdr:row>
      <xdr:rowOff>253819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uspicious Flag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spicious Flag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82545" y="2073275"/>
              <a:ext cx="2105025" cy="816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496686</xdr:colOff>
      <xdr:row>10</xdr:row>
      <xdr:rowOff>182314</xdr:rowOff>
    </xdr:from>
    <xdr:to>
      <xdr:col>32</xdr:col>
      <xdr:colOff>236113</xdr:colOff>
      <xdr:row>15</xdr:row>
      <xdr:rowOff>42631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 Made Purchase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Made Purchas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65370" y="2818765"/>
              <a:ext cx="2177415" cy="88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500990</xdr:colOff>
      <xdr:row>15</xdr:row>
      <xdr:rowOff>35030</xdr:rowOff>
    </xdr:from>
    <xdr:to>
      <xdr:col>32</xdr:col>
      <xdr:colOff>225381</xdr:colOff>
      <xdr:row>18</xdr:row>
      <xdr:rowOff>127893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 Engagement Level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Engagement Level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69180" y="3700145"/>
              <a:ext cx="2162810" cy="64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530061</xdr:colOff>
      <xdr:row>24</xdr:row>
      <xdr:rowOff>147869</xdr:rowOff>
    </xdr:from>
    <xdr:to>
      <xdr:col>32</xdr:col>
      <xdr:colOff>265476</xdr:colOff>
      <xdr:row>36</xdr:row>
      <xdr:rowOff>63202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Year-Month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-Month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98390" y="5458460"/>
              <a:ext cx="2174240" cy="2224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529317</xdr:colOff>
      <xdr:row>36</xdr:row>
      <xdr:rowOff>20420</xdr:rowOff>
    </xdr:from>
    <xdr:to>
      <xdr:col>32</xdr:col>
      <xdr:colOff>220283</xdr:colOff>
      <xdr:row>48</xdr:row>
      <xdr:rowOff>160985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egion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97755" y="7640320"/>
              <a:ext cx="2129155" cy="2334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507552</xdr:colOff>
      <xdr:row>18</xdr:row>
      <xdr:rowOff>142804</xdr:rowOff>
    </xdr:from>
    <xdr:to>
      <xdr:col>32</xdr:col>
      <xdr:colOff>262019</xdr:colOff>
      <xdr:row>24</xdr:row>
      <xdr:rowOff>150108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latform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76165" y="4356100"/>
              <a:ext cx="219265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322276</xdr:colOff>
      <xdr:row>3</xdr:row>
      <xdr:rowOff>104035</xdr:rowOff>
    </xdr:from>
    <xdr:to>
      <xdr:col>98</xdr:col>
      <xdr:colOff>603509</xdr:colOff>
      <xdr:row>82</xdr:row>
      <xdr:rowOff>150207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6862405" y="652145"/>
          <a:ext cx="34228405" cy="14493875"/>
        </a:xfrm>
        <a:prstGeom prst="rect">
          <a:avLst/>
        </a:prstGeom>
      </xdr:spPr>
    </xdr:pic>
    <xdr:clientData/>
  </xdr:twoCellAnchor>
  <xdr:twoCellAnchor>
    <xdr:from>
      <xdr:col>52</xdr:col>
      <xdr:colOff>346362</xdr:colOff>
      <xdr:row>46</xdr:row>
      <xdr:rowOff>41564</xdr:rowOff>
    </xdr:from>
    <xdr:to>
      <xdr:col>64</xdr:col>
      <xdr:colOff>69272</xdr:colOff>
      <xdr:row>70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415636</xdr:colOff>
      <xdr:row>21</xdr:row>
      <xdr:rowOff>55418</xdr:rowOff>
    </xdr:from>
    <xdr:to>
      <xdr:col>64</xdr:col>
      <xdr:colOff>110835</xdr:colOff>
      <xdr:row>44</xdr:row>
      <xdr:rowOff>27709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235529</xdr:colOff>
      <xdr:row>21</xdr:row>
      <xdr:rowOff>83128</xdr:rowOff>
    </xdr:from>
    <xdr:to>
      <xdr:col>74</xdr:col>
      <xdr:colOff>304801</xdr:colOff>
      <xdr:row>44</xdr:row>
      <xdr:rowOff>55420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152403</xdr:colOff>
      <xdr:row>46</xdr:row>
      <xdr:rowOff>96983</xdr:rowOff>
    </xdr:from>
    <xdr:to>
      <xdr:col>74</xdr:col>
      <xdr:colOff>263236</xdr:colOff>
      <xdr:row>70</xdr:row>
      <xdr:rowOff>166256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74</xdr:col>
      <xdr:colOff>471055</xdr:colOff>
      <xdr:row>46</xdr:row>
      <xdr:rowOff>96982</xdr:rowOff>
    </xdr:from>
    <xdr:to>
      <xdr:col>83</xdr:col>
      <xdr:colOff>498765</xdr:colOff>
      <xdr:row>70</xdr:row>
      <xdr:rowOff>83128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84</xdr:col>
      <xdr:colOff>289560</xdr:colOff>
      <xdr:row>21</xdr:row>
      <xdr:rowOff>13854</xdr:rowOff>
    </xdr:from>
    <xdr:to>
      <xdr:col>92</xdr:col>
      <xdr:colOff>457199</xdr:colOff>
      <xdr:row>26</xdr:row>
      <xdr:rowOff>27709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Suspicious Flag 2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spicious Flag 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36040" y="3853815"/>
              <a:ext cx="5104765" cy="928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84</xdr:col>
      <xdr:colOff>227427</xdr:colOff>
      <xdr:row>41</xdr:row>
      <xdr:rowOff>83244</xdr:rowOff>
    </xdr:from>
    <xdr:to>
      <xdr:col>92</xdr:col>
      <xdr:colOff>454269</xdr:colOff>
      <xdr:row>50</xdr:row>
      <xdr:rowOff>16282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Platform 1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73810" y="7581265"/>
              <a:ext cx="5164455" cy="1578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89</xdr:col>
      <xdr:colOff>167199</xdr:colOff>
      <xdr:row>26</xdr:row>
      <xdr:rowOff>172792</xdr:rowOff>
    </xdr:from>
    <xdr:to>
      <xdr:col>92</xdr:col>
      <xdr:colOff>429083</xdr:colOff>
      <xdr:row>39</xdr:row>
      <xdr:rowOff>168051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Year-Month 1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-Month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99585" y="4927600"/>
              <a:ext cx="2113280" cy="2372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84</xdr:col>
      <xdr:colOff>274320</xdr:colOff>
      <xdr:row>27</xdr:row>
      <xdr:rowOff>3</xdr:rowOff>
    </xdr:from>
    <xdr:to>
      <xdr:col>88</xdr:col>
      <xdr:colOff>129433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Region 1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20800" y="4937760"/>
              <a:ext cx="2323465" cy="2377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84</xdr:col>
      <xdr:colOff>278423</xdr:colOff>
      <xdr:row>52</xdr:row>
      <xdr:rowOff>51651</xdr:rowOff>
    </xdr:from>
    <xdr:to>
      <xdr:col>92</xdr:col>
      <xdr:colOff>512884</xdr:colOff>
      <xdr:row>58</xdr:row>
      <xdr:rowOff>14654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 Made Purchase 1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Made Purchas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24610" y="9561195"/>
              <a:ext cx="5172075" cy="106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72</xdr:col>
      <xdr:colOff>471054</xdr:colOff>
      <xdr:row>40</xdr:row>
      <xdr:rowOff>69272</xdr:rowOff>
    </xdr:from>
    <xdr:to>
      <xdr:col>74</xdr:col>
      <xdr:colOff>166254</xdr:colOff>
      <xdr:row>45</xdr:row>
      <xdr:rowOff>83127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44910375" y="7384415"/>
          <a:ext cx="929640" cy="927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74</xdr:col>
      <xdr:colOff>29308</xdr:colOff>
      <xdr:row>45</xdr:row>
      <xdr:rowOff>37407</xdr:rowOff>
    </xdr:from>
    <xdr:to>
      <xdr:col>74</xdr:col>
      <xdr:colOff>166254</xdr:colOff>
      <xdr:row>45</xdr:row>
      <xdr:rowOff>83126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45703490" y="8266430"/>
          <a:ext cx="1365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oneCellAnchor>
    <xdr:from>
      <xdr:col>61</xdr:col>
      <xdr:colOff>320040</xdr:colOff>
      <xdr:row>14</xdr:row>
      <xdr:rowOff>60960</xdr:rowOff>
    </xdr:from>
    <xdr:ext cx="14264640" cy="9601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970460" y="2621280"/>
          <a:ext cx="14264640" cy="960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5400" b="1"/>
            <a:t>          Gaming</a:t>
          </a:r>
          <a:r>
            <a:rPr lang="en-IN" sz="5400" b="1" baseline="0"/>
            <a:t> Platform &amp; Transction Analysis</a:t>
          </a:r>
          <a:endParaRPr lang="en-IN" sz="5400" b="1"/>
        </a:p>
      </xdr:txBody>
    </xdr:sp>
    <xdr:clientData/>
  </xdr:oneCellAnchor>
  <xdr:twoCellAnchor>
    <xdr:from>
      <xdr:col>74</xdr:col>
      <xdr:colOff>600896</xdr:colOff>
      <xdr:row>21</xdr:row>
      <xdr:rowOff>141768</xdr:rowOff>
    </xdr:from>
    <xdr:to>
      <xdr:col>83</xdr:col>
      <xdr:colOff>389861</xdr:colOff>
      <xdr:row>44</xdr:row>
      <xdr:rowOff>88605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5827.868670486103" createdVersion="7" refreshedVersion="7" minRefreshableVersion="3" recordCount="326" xr:uid="{00000000-000A-0000-FFFF-FFFF00000000}">
  <cacheSource type="worksheet">
    <worksheetSource name="Table1"/>
  </cacheSource>
  <cacheFields count="18">
    <cacheField name="Session ID" numFmtId="0">
      <sharedItems containsNonDate="0"/>
    </cacheField>
    <cacheField name="Player ID" numFmtId="0">
      <sharedItems containsNonDate="0"/>
    </cacheField>
    <cacheField name="Player Name" numFmtId="0">
      <sharedItems containsNonDate="0"/>
    </cacheField>
    <cacheField name="Game Name" numFmtId="0">
      <sharedItems containsNonDate="0"/>
    </cacheField>
    <cacheField name="Platform" numFmtId="0">
      <sharedItems containsNonDate="0"/>
    </cacheField>
    <cacheField name="Region" numFmtId="0">
      <sharedItems containsNonDate="0"/>
    </cacheField>
    <cacheField name="Session Date" numFmtId="14">
      <sharedItems containsSemiMixedTypes="0" containsNonDate="0" containsDate="1" containsString="0" minDate="2024-12-13T00:00:00" maxDate="2025-06-14T00:00:00"/>
    </cacheField>
    <cacheField name="Session Duration (min)" numFmtId="0">
      <sharedItems containsSemiMixedTypes="0" containsNonDate="0" containsString="0" containsNumber="1" containsInteger="1" minValue="61" maxValue="180"/>
    </cacheField>
    <cacheField name="In-Game Purchase ($)" numFmtId="0">
      <sharedItems containsSemiMixedTypes="0" containsNonDate="0" containsString="0" containsNumber="1" minValue="0" maxValue="47.72"/>
    </cacheField>
    <cacheField name="Purchase Type" numFmtId="0">
      <sharedItems containsNonDate="0"/>
    </cacheField>
    <cacheField name="Session Status" numFmtId="0">
      <sharedItems containsNonDate="0"/>
    </cacheField>
    <cacheField name="Player Type" numFmtId="0">
      <sharedItems containsNonDate="0"/>
    </cacheField>
    <cacheField name="Level Reached" numFmtId="0">
      <sharedItems containsSemiMixedTypes="0" containsNonDate="0" containsString="0" containsNumber="1" containsInteger="1" minValue="1" maxValue="50"/>
    </cacheField>
    <cacheField name="Is Suspicious" numFmtId="0">
      <sharedItems containsNonDate="0"/>
    </cacheField>
    <cacheField name="Year-Month" numFmtId="0">
      <sharedItems count="7">
        <s v="2024-12"/>
        <s v="2025-01"/>
        <s v="2025-02"/>
        <s v="2025-03"/>
        <s v="2025-04"/>
        <s v="2025-05"/>
        <s v="2025-06"/>
      </sharedItems>
    </cacheField>
    <cacheField name=" Engagement Level" numFmtId="0">
      <sharedItems count="1">
        <s v="High"/>
      </sharedItems>
    </cacheField>
    <cacheField name=" Made Purchase" numFmtId="0">
      <sharedItems count="2">
        <s v="Yes"/>
        <s v="No"/>
      </sharedItems>
    </cacheField>
    <cacheField name="Suspicious Flag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5827.869801157402" createdVersion="7" refreshedVersion="7" minRefreshableVersion="3" recordCount="327" xr:uid="{00000000-000A-0000-FFFF-FFFF01000000}">
  <cacheSource type="worksheet">
    <worksheetSource ref="A1:R1048576" sheet="After preprocces data"/>
  </cacheSource>
  <cacheFields count="18">
    <cacheField name="Session ID" numFmtId="0">
      <sharedItems containsBlank="1" count="327">
        <s v="S00002"/>
        <s v="S00052"/>
        <s v="S00467"/>
        <s v="S00457"/>
        <s v="S00089"/>
        <s v="S00093"/>
        <s v="S00098"/>
        <s v="S00447"/>
        <s v="S00111"/>
        <s v="S00445"/>
        <s v="S00114"/>
        <s v="S00123"/>
        <s v="S00436"/>
        <s v="S00132"/>
        <s v="S00133"/>
        <s v="S00145"/>
        <s v="S00431"/>
        <s v="S00422"/>
        <s v="S00416"/>
        <s v="S00173"/>
        <s v="S00195"/>
        <s v="S00209"/>
        <s v="S00376"/>
        <s v="S00219"/>
        <s v="S00372"/>
        <s v="S00234"/>
        <s v="S00252"/>
        <s v="S00253"/>
        <s v="S00255"/>
        <s v="S00264"/>
        <s v="S00342"/>
        <s v="S00290"/>
        <s v="S00298"/>
        <s v="S00324"/>
        <s v="S00325"/>
        <s v="S00499"/>
        <s v="S00495"/>
        <s v="S00016"/>
        <s v="S00017"/>
        <s v="S00018"/>
        <s v="S00040"/>
        <s v="S00043"/>
        <s v="S00477"/>
        <s v="S00050"/>
        <s v="S00469"/>
        <s v="S00063"/>
        <s v="S00067"/>
        <s v="S00069"/>
        <s v="S00070"/>
        <s v="S00072"/>
        <s v="S00074"/>
        <s v="S00458"/>
        <s v="S00455"/>
        <s v="S00090"/>
        <s v="S00102"/>
        <s v="S00106"/>
        <s v="S00443"/>
        <s v="S00121"/>
        <s v="S00124"/>
        <s v="S00127"/>
        <s v="S00130"/>
        <s v="S00135"/>
        <s v="S00142"/>
        <s v="S00432"/>
        <s v="S00148"/>
        <s v="S00430"/>
        <s v="S00151"/>
        <s v="S00426"/>
        <s v="S00424"/>
        <s v="S00413"/>
        <s v="S00411"/>
        <s v="S00178"/>
        <s v="S00191"/>
        <s v="S00386"/>
        <s v="S00384"/>
        <s v="S00215"/>
        <s v="S00222"/>
        <s v="S00224"/>
        <s v="S00225"/>
        <s v="S00226"/>
        <s v="S00227"/>
        <s v="S00239"/>
        <s v="S00242"/>
        <s v="S00245"/>
        <s v="S00246"/>
        <s v="S00364"/>
        <s v="S00363"/>
        <s v="S00258"/>
        <s v="S00265"/>
        <s v="S00274"/>
        <s v="S00281"/>
        <s v="S00295"/>
        <s v="S00300"/>
        <s v="S00335"/>
        <s v="S00311"/>
        <s v="S00313"/>
        <s v="S00317"/>
        <s v="S00319"/>
        <s v="S00320"/>
        <s v="S00322"/>
        <s v="S00001"/>
        <s v="S00497"/>
        <s v="S00020"/>
        <s v="S00028"/>
        <s v="S00031"/>
        <s v="S00033"/>
        <s v="S00039"/>
        <s v="S00481"/>
        <s v="S00044"/>
        <s v="S00476"/>
        <s v="S00048"/>
        <s v="S00463"/>
        <s v="S00077"/>
        <s v="S00454"/>
        <s v="S00096"/>
        <s v="S00097"/>
        <s v="S00441"/>
        <s v="S00437"/>
        <s v="S00149"/>
        <s v="S00423"/>
        <s v="S00158"/>
        <s v="S00174"/>
        <s v="S00175"/>
        <s v="S00410"/>
        <s v="S00408"/>
        <s v="S00407"/>
        <s v="S00405"/>
        <s v="S00187"/>
        <s v="S00398"/>
        <s v="S00393"/>
        <s v="S00369"/>
        <s v="S00238"/>
        <s v="S00366"/>
        <s v="S00250"/>
        <s v="S00359"/>
        <s v="S00357"/>
        <s v="S00279"/>
        <s v="S00280"/>
        <s v="S00284"/>
        <s v="S00287"/>
        <s v="S00301"/>
        <s v="S00308"/>
        <s v="S00492"/>
        <s v="S00013"/>
        <s v="S00015"/>
        <s v="S00024"/>
        <s v="S00485"/>
        <s v="S00026"/>
        <s v="S00483"/>
        <s v="S00035"/>
        <s v="S00037"/>
        <s v="S00054"/>
        <s v="S00465"/>
        <s v="S00062"/>
        <s v="S00079"/>
        <s v="S00082"/>
        <s v="S00456"/>
        <s v="S00450"/>
        <s v="S00087"/>
        <s v="S00094"/>
        <s v="S00099"/>
        <s v="S00108"/>
        <s v="S00434"/>
        <s v="S00154"/>
        <s v="S00165"/>
        <s v="S00168"/>
        <s v="S00180"/>
        <s v="S00396"/>
        <s v="S00379"/>
        <s v="S00212"/>
        <s v="S00220"/>
        <s v="S00370"/>
        <s v="S00354"/>
        <s v="S00352"/>
        <s v="S00272"/>
        <s v="S00276"/>
        <s v="S00277"/>
        <s v="S00278"/>
        <s v="S00282"/>
        <s v="S00288"/>
        <s v="S00296"/>
        <s v="S00336"/>
        <s v="S00305"/>
        <s v="S00332"/>
        <s v="S00314"/>
        <s v="S00316"/>
        <s v="S00318"/>
        <s v="S00326"/>
        <s v="S00007"/>
        <s v="S00012"/>
        <s v="S00486"/>
        <s v="S00484"/>
        <s v="S00036"/>
        <s v="S00059"/>
        <s v="S00060"/>
        <s v="S00075"/>
        <s v="S00449"/>
        <s v="S00092"/>
        <s v="S00448"/>
        <s v="S00116"/>
        <s v="S00134"/>
        <s v="S00435"/>
        <s v="S00138"/>
        <s v="S00140"/>
        <s v="S00144"/>
        <s v="S00147"/>
        <s v="S00421"/>
        <s v="S00161"/>
        <s v="S00419"/>
        <s v="S00167"/>
        <s v="S00171"/>
        <s v="S00182"/>
        <s v="S00399"/>
        <s v="S00203"/>
        <s v="S00383"/>
        <s v="S00377"/>
        <s v="S00221"/>
        <s v="S00223"/>
        <s v="S00371"/>
        <s v="S00235"/>
        <s v="S00368"/>
        <s v="S00240"/>
        <s v="S00244"/>
        <s v="S00365"/>
        <s v="S00248"/>
        <s v="S00254"/>
        <s v="S00271"/>
        <s v="S00275"/>
        <s v="S00283"/>
        <s v="S00345"/>
        <s v="S00291"/>
        <s v="S00338"/>
        <s v="S00302"/>
        <s v="S00307"/>
        <s v="S00315"/>
        <s v="S00005"/>
        <s v="S00010"/>
        <s v="S00491"/>
        <s v="S00014"/>
        <s v="S00490"/>
        <s v="S00021"/>
        <s v="S00022"/>
        <s v="S00027"/>
        <s v="S00482"/>
        <s v="S00038"/>
        <s v="S00479"/>
        <s v="S00478"/>
        <s v="S00470"/>
        <s v="S00468"/>
        <s v="S00056"/>
        <s v="S00057"/>
        <s v="S00061"/>
        <s v="S00464"/>
        <s v="S00073"/>
        <s v="S00080"/>
        <s v="S00095"/>
        <s v="S00100"/>
        <s v="S00104"/>
        <s v="S00105"/>
        <s v="S00446"/>
        <s v="S00110"/>
        <s v="S00112"/>
        <s v="S00442"/>
        <s v="S00118"/>
        <s v="S00119"/>
        <s v="S00438"/>
        <s v="S00131"/>
        <s v="S00137"/>
        <s v="S00155"/>
        <s v="S00164"/>
        <s v="S00166"/>
        <s v="S00415"/>
        <s v="S00177"/>
        <s v="S00179"/>
        <s v="S00181"/>
        <s v="S00401"/>
        <s v="S00190"/>
        <s v="S00397"/>
        <s v="S00197"/>
        <s v="S00392"/>
        <s v="S00199"/>
        <s v="S00390"/>
        <s v="S00389"/>
        <s v="S00206"/>
        <s v="S00207"/>
        <s v="S00208"/>
        <s v="S00378"/>
        <s v="S00375"/>
        <s v="S00230"/>
        <s v="S00232"/>
        <s v="S00243"/>
        <s v="S00360"/>
        <s v="S00358"/>
        <s v="S00263"/>
        <s v="S00356"/>
        <s v="S00269"/>
        <s v="S00349"/>
        <s v="S00292"/>
        <s v="S00340"/>
        <s v="S00297"/>
        <s v="S00303"/>
        <s v="S00304"/>
        <s v="S00330"/>
        <s v="S00328"/>
        <s v="S00327"/>
        <s v="S00004"/>
        <s v="S00030"/>
        <s v="S00064"/>
        <s v="S00066"/>
        <s v="S00068"/>
        <s v="S00071"/>
        <s v="S00091"/>
        <s v="S00109"/>
        <s v="S00125"/>
        <s v="S00128"/>
        <s v="S00139"/>
        <s v="S00429"/>
        <s v="S00170"/>
        <s v="S00388"/>
        <s v="S00214"/>
        <s v="S00373"/>
        <s v="S00362"/>
        <s v="S00261"/>
        <s v="S00267"/>
        <s v="S00285"/>
        <s v="S00310"/>
        <m/>
      </sharedItems>
    </cacheField>
    <cacheField name="Player ID" numFmtId="0">
      <sharedItems containsBlank="1" count="321">
        <s v="P9981"/>
        <s v="P8266"/>
        <s v="P3228"/>
        <s v="P5820"/>
        <s v="P5536"/>
        <s v="P5817"/>
        <s v="P8252"/>
        <s v="P1920"/>
        <s v="P1583"/>
        <s v="P6434"/>
        <s v="P2615"/>
        <s v="P2064"/>
        <s v="P9175"/>
        <s v="P2180"/>
        <s v="P2956"/>
        <s v="P1686"/>
        <s v="P7163"/>
        <s v="P9334"/>
        <s v="P1436"/>
        <s v="P7565"/>
        <s v="P1819"/>
        <s v="P6903"/>
        <s v="P4545"/>
        <s v="P3673"/>
        <s v="P1855"/>
        <s v="P4086"/>
        <s v="P7067"/>
        <s v="P6499"/>
        <s v="P4616"/>
        <s v="P6567"/>
        <s v="P9340"/>
        <s v="P4420"/>
        <s v="P1898"/>
        <s v="P5731"/>
        <s v="P2254"/>
        <s v="P1107"/>
        <s v="P7831"/>
        <s v="P9796"/>
        <s v="P5317"/>
        <s v="P5320"/>
        <s v="P3875"/>
        <s v="P2171"/>
        <s v="P2059"/>
        <s v="P5155"/>
        <s v="P2925"/>
        <s v="P3641"/>
        <s v="P9667"/>
        <s v="P8527"/>
        <s v="P6322"/>
        <s v="P3539"/>
        <s v="P8845"/>
        <s v="P8552"/>
        <s v="P4283"/>
        <s v="P3420"/>
        <s v="P1736"/>
        <s v="P8823"/>
        <s v="P9493"/>
        <s v="P7130"/>
        <s v="P9571"/>
        <s v="P6411"/>
        <s v="P9652"/>
        <s v="P9368"/>
        <s v="P7235"/>
        <s v="P2427"/>
        <s v="P6441"/>
        <s v="P8542"/>
        <s v="P5644"/>
        <s v="P8176"/>
        <s v="P8632"/>
        <s v="P5355"/>
        <s v="P3311"/>
        <s v="P4333"/>
        <s v="P6734"/>
        <s v="P5885"/>
        <s v="P6967"/>
        <s v="P2904"/>
        <s v="P9392"/>
        <s v="P4744"/>
        <s v="P1940"/>
        <s v="P7147"/>
        <s v="P9650"/>
        <s v="P3944"/>
        <s v="P7057"/>
        <s v="P8881"/>
        <s v="P4807"/>
        <s v="P9065"/>
        <s v="P8050"/>
        <s v="P1212"/>
        <s v="P2068"/>
        <s v="P4950"/>
        <s v="P5712"/>
        <s v="P8996"/>
        <s v="P8477"/>
        <s v="P5228"/>
        <s v="P6038"/>
        <s v="P9354"/>
        <s v="P2939"/>
        <s v="P2067"/>
        <s v="P1338"/>
        <s v="P6010"/>
        <s v="P3652"/>
        <s v="P1457"/>
        <s v="P6549"/>
        <s v="P4851"/>
        <s v="P3683"/>
        <s v="P4554"/>
        <s v="P3668"/>
        <s v="P5458"/>
        <s v="P5497"/>
        <s v="P9766"/>
        <s v="P1178"/>
        <s v="P3252"/>
        <s v="P6534"/>
        <s v="P4547"/>
        <s v="P7669"/>
        <s v="P1126"/>
        <s v="P4138"/>
        <s v="P1726"/>
        <s v="P2573"/>
        <s v="P8641"/>
        <s v="P4783"/>
        <s v="P4796"/>
        <s v="P6406"/>
        <s v="P2497"/>
        <s v="P9402"/>
        <s v="P8156"/>
        <s v="P6700"/>
        <s v="P6989"/>
        <s v="P6922"/>
        <s v="P1494"/>
        <s v="P6367"/>
        <s v="P4599"/>
        <s v="P8007"/>
        <s v="P2357"/>
        <s v="P8092"/>
        <s v="P7149"/>
        <s v="P8384"/>
        <s v="P9835"/>
        <s v="P4597"/>
        <s v="P8328"/>
        <s v="P1529"/>
        <s v="P6026"/>
        <s v="P6606"/>
        <s v="P4776"/>
        <s v="P9150"/>
        <s v="P8146"/>
        <s v="P3923"/>
        <s v="P3548"/>
        <s v="P6524"/>
        <s v="P2965"/>
        <s v="P2861"/>
        <s v="P5714"/>
        <s v="P1878"/>
        <s v="P1805"/>
        <s v="P9765"/>
        <s v="P7193"/>
        <s v="P3198"/>
        <s v="P9792"/>
        <s v="P6677"/>
        <s v="P9800"/>
        <s v="P2246"/>
        <s v="P8055"/>
        <s v="P6225"/>
        <s v="P9205"/>
        <s v="P2202"/>
        <s v="P1302"/>
        <s v="P4216"/>
        <s v="P7757"/>
        <s v="P1693"/>
        <s v="P4996"/>
        <s v="P8561"/>
        <s v="P4911"/>
        <s v="P2232"/>
        <s v="P8649"/>
        <s v="P7465"/>
        <s v="P7701"/>
        <s v="P8167"/>
        <s v="P1051"/>
        <s v="P4680"/>
        <s v="P2330"/>
        <s v="P4764"/>
        <s v="P6556"/>
        <s v="P3050"/>
        <s v="P4946"/>
        <s v="P2231"/>
        <s v="P7231"/>
        <s v="P7407"/>
        <s v="P1788"/>
        <s v="P3747"/>
        <s v="P4961"/>
        <s v="P1110"/>
        <s v="P2205"/>
        <s v="P3222"/>
        <s v="P5705"/>
        <s v="P1344"/>
        <s v="P7715"/>
        <s v="P3200"/>
        <s v="P2996"/>
        <s v="P4842"/>
        <s v="P2317"/>
        <s v="P2026"/>
        <s v="P9217"/>
        <s v="P7830"/>
        <s v="P1065"/>
        <s v="P4379"/>
        <s v="P4426"/>
        <s v="P3609"/>
        <s v="P6788"/>
        <s v="P5877"/>
        <s v="P8505"/>
        <s v="P7247"/>
        <s v="P1073"/>
        <s v="P8292"/>
        <s v="P6086"/>
        <s v="P5994"/>
        <s v="P4682"/>
        <s v="P9467"/>
        <s v="P8810"/>
        <s v="P1888"/>
        <s v="P2659"/>
        <s v="P5142"/>
        <s v="P7072"/>
        <s v="P7472"/>
        <s v="P7004"/>
        <s v="P6815"/>
        <s v="P6223"/>
        <s v="P9449"/>
        <s v="P5078"/>
        <s v="P9068"/>
        <s v="P6685"/>
        <s v="P7925"/>
        <s v="P4220"/>
        <s v="P8692"/>
        <s v="P6935"/>
        <s v="P9973"/>
        <s v="P1758"/>
        <s v="P5785"/>
        <s v="P2609"/>
        <s v="P6129"/>
        <s v="P7945"/>
        <s v="P5699"/>
        <s v="P3378"/>
        <s v="P9769"/>
        <s v="P9747"/>
        <s v="P1285"/>
        <s v="P7588"/>
        <s v="P7473"/>
        <s v="P2743"/>
        <s v="P8666"/>
        <s v="P2463"/>
        <s v="P5248"/>
        <s v="P5367"/>
        <s v="P9492"/>
        <s v="P2590"/>
        <s v="P7453"/>
        <s v="P9730"/>
        <s v="P3011"/>
        <s v="P9949"/>
        <s v="P8621"/>
        <s v="P4118"/>
        <s v="P1604"/>
        <s v="P6617"/>
        <s v="P4039"/>
        <s v="P2328"/>
        <s v="P4355"/>
        <s v="P9011"/>
        <s v="P6369"/>
        <s v="P4485"/>
        <s v="P3013"/>
        <s v="P2490"/>
        <s v="P3613"/>
        <s v="P5227"/>
        <s v="P9321"/>
        <s v="P8044"/>
        <s v="P2684"/>
        <s v="P9860"/>
        <s v="P9103"/>
        <s v="P4758"/>
        <s v="P3345"/>
        <s v="P1709"/>
        <s v="P3727"/>
        <s v="P2591"/>
        <s v="P5838"/>
        <s v="P7236"/>
        <s v="P8348"/>
        <s v="P5909"/>
        <s v="P9731"/>
        <s v="P1901"/>
        <s v="P2082"/>
        <s v="P9101"/>
        <s v="P3615"/>
        <s v="P9419"/>
        <s v="P2113"/>
        <s v="P6015"/>
        <s v="P2001"/>
        <s v="P8482"/>
        <s v="P1757"/>
        <s v="P6447"/>
        <s v="P3118"/>
        <s v="P2736"/>
        <s v="P2930"/>
        <s v="P4408"/>
        <s v="P6094"/>
        <s v="P2499"/>
        <s v="P9995"/>
        <s v="P8019"/>
        <s v="P6128"/>
        <s v="P9017"/>
        <s v="P4959"/>
        <s v="P4544"/>
        <s v="P4908"/>
        <s v="P1330"/>
        <s v="P6440"/>
        <s v="P5369"/>
        <s v="P9993"/>
        <s v="P3956"/>
        <s v="P7483"/>
        <s v="P9642"/>
        <s v="P3464"/>
        <s v="P5092"/>
        <m/>
      </sharedItems>
    </cacheField>
    <cacheField name="Player Name" numFmtId="0">
      <sharedItems containsNonDate="0" containsBlank="1"/>
    </cacheField>
    <cacheField name="Game Name" numFmtId="0">
      <sharedItems containsNonDate="0" containsBlank="1"/>
    </cacheField>
    <cacheField name="Platform" numFmtId="0">
      <sharedItems containsBlank="1" count="4">
        <s v="Mobile"/>
        <s v="PC"/>
        <s v="Console"/>
        <m/>
      </sharedItems>
    </cacheField>
    <cacheField name="Region" numFmtId="0">
      <sharedItems containsBlank="1" count="7">
        <s v="Central"/>
        <s v="East"/>
        <s v="North-East"/>
        <s v="North"/>
        <s v="West"/>
        <s v="South"/>
        <m/>
      </sharedItems>
    </cacheField>
    <cacheField name="Session Date" numFmtId="0">
      <sharedItems containsNonDate="0" containsDate="1" containsString="0" containsBlank="1" minDate="2024-12-13T00:00:00" maxDate="2025-06-14T00:00:00"/>
    </cacheField>
    <cacheField name="Session Duration (min)" numFmtId="0">
      <sharedItems containsNonDate="0" containsString="0" containsBlank="1" containsNumber="1" containsInteger="1" minValue="61" maxValue="180"/>
    </cacheField>
    <cacheField name="In-Game Purchase ($)" numFmtId="0">
      <sharedItems containsNonDate="0" containsString="0" containsBlank="1" containsNumber="1" minValue="0" maxValue="47.72"/>
    </cacheField>
    <cacheField name="Purchase Type" numFmtId="0">
      <sharedItems containsNonDate="0" containsBlank="1"/>
    </cacheField>
    <cacheField name="Session Status" numFmtId="0">
      <sharedItems containsNonDate="0" containsBlank="1"/>
    </cacheField>
    <cacheField name="Player Type" numFmtId="0">
      <sharedItems containsNonDate="0" containsBlank="1"/>
    </cacheField>
    <cacheField name="Level Reached" numFmtId="0">
      <sharedItems containsNonDate="0" containsString="0" containsBlank="1" containsNumber="1" containsInteger="1" minValue="1" maxValue="50"/>
    </cacheField>
    <cacheField name="Is Suspicious" numFmtId="0">
      <sharedItems containsNonDate="0" containsBlank="1"/>
    </cacheField>
    <cacheField name="Year-Month" numFmtId="0">
      <sharedItems containsBlank="1" count="8">
        <s v="2024-12"/>
        <s v="2025-01"/>
        <s v="2025-02"/>
        <s v="2025-03"/>
        <s v="2025-04"/>
        <s v="2025-05"/>
        <s v="2025-06"/>
        <m/>
      </sharedItems>
    </cacheField>
    <cacheField name=" Engagement Level" numFmtId="0">
      <sharedItems containsBlank="1" count="2">
        <s v="High"/>
        <m/>
      </sharedItems>
    </cacheField>
    <cacheField name=" Made Purchase" numFmtId="0">
      <sharedItems containsBlank="1" count="3">
        <s v="Yes"/>
        <s v="No"/>
        <m/>
      </sharedItems>
    </cacheField>
    <cacheField name="Suspicious Flag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s v="S00002"/>
    <s v="P9981"/>
    <s v="Wlee"/>
    <s v="Zombie Rush"/>
    <s v="Mobile"/>
    <s v="Central"/>
    <d v="2024-12-16T00:00:00"/>
    <n v="75"/>
    <n v="26.02"/>
    <s v="Boosters"/>
    <s v="Completed"/>
    <s v="Paid"/>
    <n v="11"/>
    <s v="No"/>
    <x v="0"/>
    <x v="0"/>
    <x v="0"/>
    <x v="0"/>
  </r>
  <r>
    <s v="S00052"/>
    <s v="P8266"/>
    <s v="Cynthiapoole"/>
    <s v="Zombie Rush"/>
    <s v="PC"/>
    <s v="East"/>
    <d v="2024-12-19T00:00:00"/>
    <n v="108"/>
    <n v="0"/>
    <s v="None"/>
    <s v="Completed"/>
    <s v="Free"/>
    <n v="35"/>
    <s v="No"/>
    <x v="0"/>
    <x v="0"/>
    <x v="1"/>
    <x v="0"/>
  </r>
  <r>
    <s v="S00467"/>
    <s v="P3228"/>
    <s v="Mlewis"/>
    <s v="Clash of Realms"/>
    <s v="Console"/>
    <s v="North-East"/>
    <d v="2024-12-28T00:00:00"/>
    <n v="132"/>
    <n v="18"/>
    <s v="Battle Pass"/>
    <s v="Crashed"/>
    <s v="Paid"/>
    <n v="3"/>
    <s v="No"/>
    <x v="0"/>
    <x v="0"/>
    <x v="0"/>
    <x v="0"/>
  </r>
  <r>
    <s v="S00457"/>
    <s v="P5820"/>
    <s v="Lindagalloway"/>
    <s v="Empire Wars"/>
    <s v="Mobile"/>
    <s v="North-East"/>
    <d v="2024-12-29T00:00:00"/>
    <n v="113"/>
    <n v="0"/>
    <s v="None"/>
    <s v="Completed"/>
    <s v="Free"/>
    <n v="17"/>
    <s v="No"/>
    <x v="0"/>
    <x v="0"/>
    <x v="1"/>
    <x v="0"/>
  </r>
  <r>
    <s v="S00089"/>
    <s v="P5536"/>
    <s v="Manderson"/>
    <s v="Zombie Rush"/>
    <s v="Mobile"/>
    <s v="East"/>
    <d v="2024-12-25T00:00:00"/>
    <n v="92"/>
    <n v="0"/>
    <s v="None"/>
    <s v="Incomplete"/>
    <s v="Free"/>
    <n v="21"/>
    <s v="No"/>
    <x v="0"/>
    <x v="0"/>
    <x v="1"/>
    <x v="0"/>
  </r>
  <r>
    <s v="S00093"/>
    <s v="P5817"/>
    <s v="Cynthiasimmons"/>
    <s v="BattleZone"/>
    <s v="Mobile"/>
    <s v="North"/>
    <d v="2024-12-20T00:00:00"/>
    <n v="154"/>
    <n v="0"/>
    <s v="None"/>
    <s v="Completed"/>
    <s v="Free"/>
    <n v="11"/>
    <s v="Yes"/>
    <x v="0"/>
    <x v="0"/>
    <x v="1"/>
    <x v="1"/>
  </r>
  <r>
    <s v="S00098"/>
    <s v="P8252"/>
    <s v="Riggsbarbara"/>
    <s v="SpeedX"/>
    <s v="Console"/>
    <s v="North-East"/>
    <d v="2024-12-20T00:00:00"/>
    <n v="164"/>
    <n v="0"/>
    <s v="None"/>
    <s v="Completed"/>
    <s v="Paid"/>
    <n v="19"/>
    <s v="Yes"/>
    <x v="0"/>
    <x v="0"/>
    <x v="1"/>
    <x v="1"/>
  </r>
  <r>
    <s v="S00447"/>
    <s v="P1920"/>
    <s v="Fsteele"/>
    <s v="Empire Wars"/>
    <s v="Mobile"/>
    <s v="Central"/>
    <d v="2024-12-28T00:00:00"/>
    <n v="133"/>
    <n v="0"/>
    <s v="None"/>
    <s v="Exited Early"/>
    <s v="Free"/>
    <n v="10"/>
    <s v="No"/>
    <x v="0"/>
    <x v="0"/>
    <x v="1"/>
    <x v="0"/>
  </r>
  <r>
    <s v="S00111"/>
    <s v="P1583"/>
    <s v="Heatherpayne"/>
    <s v="BattleZone"/>
    <s v="PC"/>
    <s v="Central"/>
    <d v="2024-12-30T00:00:00"/>
    <n v="165"/>
    <n v="0"/>
    <s v="None"/>
    <s v="Crashed"/>
    <s v="Free"/>
    <n v="48"/>
    <s v="Yes"/>
    <x v="0"/>
    <x v="0"/>
    <x v="1"/>
    <x v="1"/>
  </r>
  <r>
    <s v="S00445"/>
    <s v="P6434"/>
    <s v="Caitlinmiller"/>
    <s v="Clash of Realms"/>
    <s v="Console"/>
    <s v="West"/>
    <d v="2024-12-26T00:00:00"/>
    <n v="96"/>
    <n v="0"/>
    <s v="None"/>
    <s v="Completed"/>
    <s v="Free"/>
    <n v="49"/>
    <s v="No"/>
    <x v="0"/>
    <x v="0"/>
    <x v="1"/>
    <x v="0"/>
  </r>
  <r>
    <s v="S00114"/>
    <s v="P2615"/>
    <s v="Melissa89"/>
    <s v="Zombie Rush"/>
    <s v="Mobile"/>
    <s v="Central"/>
    <d v="2024-12-18T00:00:00"/>
    <n v="89"/>
    <n v="30.92"/>
    <s v="Boosters"/>
    <s v="Completed"/>
    <s v="Paid"/>
    <n v="48"/>
    <s v="No"/>
    <x v="0"/>
    <x v="0"/>
    <x v="0"/>
    <x v="0"/>
  </r>
  <r>
    <s v="S00123"/>
    <s v="P2064"/>
    <s v="Davidkelley"/>
    <s v="Zombie Rush"/>
    <s v="Mobile"/>
    <s v="South"/>
    <d v="2024-12-22T00:00:00"/>
    <n v="156"/>
    <n v="0"/>
    <s v="None"/>
    <s v="Completed"/>
    <s v="Paid"/>
    <n v="45"/>
    <s v="Yes"/>
    <x v="0"/>
    <x v="0"/>
    <x v="1"/>
    <x v="1"/>
  </r>
  <r>
    <s v="S00436"/>
    <s v="P9175"/>
    <s v="Gregbaker"/>
    <s v="Zombie Rush"/>
    <s v="Console"/>
    <s v="West"/>
    <d v="2024-12-19T00:00:00"/>
    <n v="176"/>
    <n v="0"/>
    <s v="None"/>
    <s v="Completed"/>
    <s v="Free"/>
    <n v="18"/>
    <s v="Yes"/>
    <x v="0"/>
    <x v="0"/>
    <x v="1"/>
    <x v="1"/>
  </r>
  <r>
    <s v="S00132"/>
    <s v="P2180"/>
    <s v="Briansteele"/>
    <s v="Zombie Rush"/>
    <s v="Console"/>
    <s v="North-East"/>
    <d v="2024-12-18T00:00:00"/>
    <n v="95"/>
    <n v="0"/>
    <s v="None"/>
    <s v="Completed"/>
    <s v="Free"/>
    <n v="20"/>
    <s v="No"/>
    <x v="0"/>
    <x v="0"/>
    <x v="1"/>
    <x v="0"/>
  </r>
  <r>
    <s v="S00133"/>
    <s v="P2956"/>
    <s v="Huangdana"/>
    <s v="SpeedX"/>
    <s v="PC"/>
    <s v="North"/>
    <d v="2024-12-22T00:00:00"/>
    <n v="107"/>
    <n v="0"/>
    <s v="None"/>
    <s v="Incomplete"/>
    <s v="Free"/>
    <n v="7"/>
    <s v="No"/>
    <x v="0"/>
    <x v="0"/>
    <x v="1"/>
    <x v="0"/>
  </r>
  <r>
    <s v="S00145"/>
    <s v="P1686"/>
    <s v="Michellemurphy"/>
    <s v="Clash of Realms"/>
    <s v="Console"/>
    <s v="Central"/>
    <d v="2024-12-24T00:00:00"/>
    <n v="146"/>
    <n v="0"/>
    <s v="None"/>
    <s v="Completed"/>
    <s v="Free"/>
    <n v="28"/>
    <s v="No"/>
    <x v="0"/>
    <x v="0"/>
    <x v="1"/>
    <x v="0"/>
  </r>
  <r>
    <s v="S00431"/>
    <s v="P7163"/>
    <s v="Emilynelson"/>
    <s v="Zombie Rush"/>
    <s v="Console"/>
    <s v="South"/>
    <d v="2024-12-15T00:00:00"/>
    <n v="159"/>
    <n v="0"/>
    <s v="None"/>
    <s v="Completed"/>
    <s v="Free"/>
    <n v="14"/>
    <s v="Yes"/>
    <x v="0"/>
    <x v="0"/>
    <x v="1"/>
    <x v="1"/>
  </r>
  <r>
    <s v="S00422"/>
    <s v="P9334"/>
    <s v="Samantha20"/>
    <s v="Empire Wars"/>
    <s v="Mobile"/>
    <s v="South"/>
    <d v="2024-12-17T00:00:00"/>
    <n v="92"/>
    <n v="0"/>
    <s v="None"/>
    <s v="Completed"/>
    <s v="Paid"/>
    <n v="31"/>
    <s v="No"/>
    <x v="0"/>
    <x v="0"/>
    <x v="1"/>
    <x v="0"/>
  </r>
  <r>
    <s v="S00416"/>
    <s v="P1436"/>
    <s v="Coxanthony"/>
    <s v="Empire Wars"/>
    <s v="PC"/>
    <s v="North-East"/>
    <d v="2024-12-31T00:00:00"/>
    <n v="86"/>
    <n v="0"/>
    <s v="None"/>
    <s v="Incomplete"/>
    <s v="Paid"/>
    <n v="17"/>
    <s v="No"/>
    <x v="0"/>
    <x v="0"/>
    <x v="1"/>
    <x v="0"/>
  </r>
  <r>
    <s v="S00173"/>
    <s v="P7565"/>
    <s v="Ambersmith"/>
    <s v="Zombie Rush"/>
    <s v="Console"/>
    <s v="Central"/>
    <d v="2024-12-30T00:00:00"/>
    <n v="156"/>
    <n v="0"/>
    <s v="None"/>
    <s v="Completed"/>
    <s v="Free"/>
    <n v="34"/>
    <s v="Yes"/>
    <x v="0"/>
    <x v="0"/>
    <x v="1"/>
    <x v="1"/>
  </r>
  <r>
    <s v="S00195"/>
    <s v="P1819"/>
    <s v="Garciadanielle"/>
    <s v="Zombie Rush"/>
    <s v="Mobile"/>
    <s v="East"/>
    <d v="2024-12-28T00:00:00"/>
    <n v="117"/>
    <n v="0"/>
    <s v="None"/>
    <s v="Completed"/>
    <s v="Free"/>
    <n v="17"/>
    <s v="No"/>
    <x v="0"/>
    <x v="0"/>
    <x v="1"/>
    <x v="0"/>
  </r>
  <r>
    <s v="S00209"/>
    <s v="P6903"/>
    <s v="Selliott"/>
    <s v="Empire Wars"/>
    <s v="Mobile"/>
    <s v="North-East"/>
    <d v="2024-12-15T00:00:00"/>
    <n v="109"/>
    <n v="0"/>
    <s v="None"/>
    <s v="Completed"/>
    <s v="Free"/>
    <n v="15"/>
    <s v="No"/>
    <x v="0"/>
    <x v="0"/>
    <x v="1"/>
    <x v="0"/>
  </r>
  <r>
    <s v="S00376"/>
    <s v="P4545"/>
    <s v="Monique85"/>
    <s v="BattleZone"/>
    <s v="PC"/>
    <s v="South"/>
    <d v="2024-12-25T00:00:00"/>
    <n v="167"/>
    <n v="0"/>
    <s v="None"/>
    <s v="Completed"/>
    <s v="Paid"/>
    <n v="37"/>
    <s v="Yes"/>
    <x v="0"/>
    <x v="0"/>
    <x v="1"/>
    <x v="1"/>
  </r>
  <r>
    <s v="S00219"/>
    <s v="P3673"/>
    <s v="Davisdevin"/>
    <s v="BattleZone"/>
    <s v="Mobile"/>
    <s v="West"/>
    <d v="2024-12-16T00:00:00"/>
    <n v="114"/>
    <n v="5.31"/>
    <s v="Boosters"/>
    <s v="Completed"/>
    <s v="Paid"/>
    <n v="9"/>
    <s v="No"/>
    <x v="0"/>
    <x v="0"/>
    <x v="0"/>
    <x v="0"/>
  </r>
  <r>
    <s v="S00372"/>
    <s v="P1855"/>
    <s v="Amandarogers"/>
    <s v="Zombie Rush"/>
    <s v="PC"/>
    <s v="North"/>
    <d v="2024-12-29T00:00:00"/>
    <n v="83"/>
    <n v="0"/>
    <s v="None"/>
    <s v="Completed"/>
    <s v="Free"/>
    <n v="49"/>
    <s v="No"/>
    <x v="0"/>
    <x v="0"/>
    <x v="1"/>
    <x v="0"/>
  </r>
  <r>
    <s v="S00234"/>
    <s v="P4086"/>
    <s v="Joseph76"/>
    <s v="Zombie Rush"/>
    <s v="Mobile"/>
    <s v="North"/>
    <d v="2024-12-26T00:00:00"/>
    <n v="154"/>
    <n v="0"/>
    <s v="None"/>
    <s v="Completed"/>
    <s v="Free"/>
    <n v="22"/>
    <s v="Yes"/>
    <x v="0"/>
    <x v="0"/>
    <x v="1"/>
    <x v="1"/>
  </r>
  <r>
    <s v="S00252"/>
    <s v="P7067"/>
    <s v="Jackbarnes"/>
    <s v="Empire Wars"/>
    <s v="Console"/>
    <s v="North"/>
    <d v="2024-12-13T00:00:00"/>
    <n v="177"/>
    <n v="0"/>
    <s v="None"/>
    <s v="Completed"/>
    <s v="Free"/>
    <n v="25"/>
    <s v="Yes"/>
    <x v="0"/>
    <x v="0"/>
    <x v="1"/>
    <x v="1"/>
  </r>
  <r>
    <s v="S00253"/>
    <s v="P6499"/>
    <s v="Juanjones"/>
    <s v="Empire Wars"/>
    <s v="Mobile"/>
    <s v="West"/>
    <d v="2024-12-13T00:00:00"/>
    <n v="133"/>
    <n v="8.0500000000000007"/>
    <s v="Skins"/>
    <s v="Completed"/>
    <s v="Paid"/>
    <n v="35"/>
    <s v="No"/>
    <x v="0"/>
    <x v="0"/>
    <x v="0"/>
    <x v="0"/>
  </r>
  <r>
    <s v="S00255"/>
    <s v="P4616"/>
    <s v="Danieldonaldson"/>
    <s v="Empire Wars"/>
    <s v="PC"/>
    <s v="West"/>
    <d v="2024-12-20T00:00:00"/>
    <n v="72"/>
    <n v="0"/>
    <s v="None"/>
    <s v="Completed"/>
    <s v="Free"/>
    <n v="34"/>
    <s v="No"/>
    <x v="0"/>
    <x v="0"/>
    <x v="1"/>
    <x v="0"/>
  </r>
  <r>
    <s v="S00264"/>
    <s v="P6567"/>
    <s v="Smithshawn"/>
    <s v="BattleZone"/>
    <s v="PC"/>
    <s v="East"/>
    <d v="2024-12-24T00:00:00"/>
    <n v="175"/>
    <n v="0"/>
    <s v="None"/>
    <s v="Incomplete"/>
    <s v="Free"/>
    <n v="22"/>
    <s v="Yes"/>
    <x v="0"/>
    <x v="0"/>
    <x v="1"/>
    <x v="1"/>
  </r>
  <r>
    <s v="S00342"/>
    <s v="P9340"/>
    <s v="Davisheather"/>
    <s v="Clash of Realms"/>
    <s v="Mobile"/>
    <s v="East"/>
    <d v="2024-12-29T00:00:00"/>
    <n v="166"/>
    <n v="0"/>
    <s v="None"/>
    <s v="Incomplete"/>
    <s v="Free"/>
    <n v="30"/>
    <s v="Yes"/>
    <x v="0"/>
    <x v="0"/>
    <x v="1"/>
    <x v="1"/>
  </r>
  <r>
    <s v="S00290"/>
    <s v="P4420"/>
    <s v="Wanda82"/>
    <s v="Clash of Realms"/>
    <s v="PC"/>
    <s v="West"/>
    <d v="2024-12-26T00:00:00"/>
    <n v="154"/>
    <n v="0"/>
    <s v="None"/>
    <s v="Completed"/>
    <s v="Paid"/>
    <n v="14"/>
    <s v="Yes"/>
    <x v="0"/>
    <x v="0"/>
    <x v="1"/>
    <x v="1"/>
  </r>
  <r>
    <s v="S00298"/>
    <s v="P1898"/>
    <s v="Yperez"/>
    <s v="SpeedX"/>
    <s v="PC"/>
    <s v="East"/>
    <d v="2024-12-18T00:00:00"/>
    <n v="174"/>
    <n v="0"/>
    <s v="None"/>
    <s v="Exited Early"/>
    <s v="Free"/>
    <n v="50"/>
    <s v="Yes"/>
    <x v="0"/>
    <x v="0"/>
    <x v="1"/>
    <x v="1"/>
  </r>
  <r>
    <s v="S00324"/>
    <s v="P5731"/>
    <s v="Erinhansen"/>
    <s v="SpeedX"/>
    <s v="Mobile"/>
    <s v="South"/>
    <d v="2024-12-21T00:00:00"/>
    <n v="77"/>
    <n v="0"/>
    <s v="None"/>
    <s v="Completed"/>
    <s v="Free"/>
    <n v="11"/>
    <s v="No"/>
    <x v="0"/>
    <x v="0"/>
    <x v="1"/>
    <x v="0"/>
  </r>
  <r>
    <s v="S00325"/>
    <s v="P2254"/>
    <s v="Gerald82"/>
    <s v="Clash of Realms"/>
    <s v="Console"/>
    <s v="South"/>
    <d v="2024-12-15T00:00:00"/>
    <n v="175"/>
    <n v="0"/>
    <s v="None"/>
    <s v="Crashed"/>
    <s v="Paid"/>
    <n v="10"/>
    <s v="Yes"/>
    <x v="0"/>
    <x v="0"/>
    <x v="1"/>
    <x v="1"/>
  </r>
  <r>
    <s v="S00499"/>
    <s v="P1107"/>
    <s v="Fnolan"/>
    <s v="Clash of Realms"/>
    <s v="Mobile"/>
    <s v="South"/>
    <d v="2025-01-03T00:00:00"/>
    <n v="172"/>
    <n v="0"/>
    <s v="None"/>
    <s v="Exited Early"/>
    <s v="Free"/>
    <n v="4"/>
    <s v="Yes"/>
    <x v="1"/>
    <x v="0"/>
    <x v="1"/>
    <x v="1"/>
  </r>
  <r>
    <s v="S00495"/>
    <s v="P7831"/>
    <s v="April12"/>
    <s v="Empire Wars"/>
    <s v="Console"/>
    <s v="West"/>
    <d v="2025-01-15T00:00:00"/>
    <n v="171"/>
    <n v="0"/>
    <s v="None"/>
    <s v="Completed"/>
    <s v="Free"/>
    <n v="35"/>
    <s v="Yes"/>
    <x v="1"/>
    <x v="0"/>
    <x v="1"/>
    <x v="1"/>
  </r>
  <r>
    <s v="S00016"/>
    <s v="P9796"/>
    <s v="Raynatalie"/>
    <s v="BattleZone"/>
    <s v="Mobile"/>
    <s v="East"/>
    <d v="2025-01-07T00:00:00"/>
    <n v="163"/>
    <n v="0"/>
    <s v="None"/>
    <s v="Completed"/>
    <s v="Free"/>
    <n v="50"/>
    <s v="Yes"/>
    <x v="1"/>
    <x v="0"/>
    <x v="1"/>
    <x v="1"/>
  </r>
  <r>
    <s v="S00017"/>
    <s v="P5317"/>
    <s v="Xtaylor"/>
    <s v="BattleZone"/>
    <s v="PC"/>
    <s v="East"/>
    <d v="2025-01-24T00:00:00"/>
    <n v="128"/>
    <n v="0"/>
    <s v="None"/>
    <s v="Incomplete"/>
    <s v="Free"/>
    <n v="7"/>
    <s v="No"/>
    <x v="1"/>
    <x v="0"/>
    <x v="1"/>
    <x v="0"/>
  </r>
  <r>
    <s v="S00018"/>
    <s v="P5320"/>
    <s v="Aguilarjennifer"/>
    <s v="Empire Wars"/>
    <s v="Console"/>
    <s v="North-East"/>
    <d v="2025-01-28T00:00:00"/>
    <n v="173"/>
    <n v="0"/>
    <s v="None"/>
    <s v="Exited Early"/>
    <s v="Free"/>
    <n v="30"/>
    <s v="Yes"/>
    <x v="1"/>
    <x v="0"/>
    <x v="1"/>
    <x v="1"/>
  </r>
  <r>
    <s v="S00040"/>
    <s v="P3875"/>
    <s v="Bruce09"/>
    <s v="SpeedX"/>
    <s v="PC"/>
    <s v="North-East"/>
    <d v="2025-01-16T00:00:00"/>
    <n v="82"/>
    <n v="24.1"/>
    <s v="Skins"/>
    <s v="Completed"/>
    <s v="Paid"/>
    <n v="34"/>
    <s v="No"/>
    <x v="1"/>
    <x v="0"/>
    <x v="0"/>
    <x v="0"/>
  </r>
  <r>
    <s v="S00043"/>
    <s v="P2171"/>
    <s v="Nnguyen"/>
    <s v="BattleZone"/>
    <s v="PC"/>
    <s v="West"/>
    <d v="2025-01-19T00:00:00"/>
    <n v="112"/>
    <n v="30.74"/>
    <s v="Subscriptions"/>
    <s v="Completed"/>
    <s v="Paid"/>
    <n v="10"/>
    <s v="No"/>
    <x v="1"/>
    <x v="0"/>
    <x v="0"/>
    <x v="0"/>
  </r>
  <r>
    <s v="S00477"/>
    <s v="P2059"/>
    <s v="Valenzuelakim"/>
    <s v="BattleZone"/>
    <s v="PC"/>
    <s v="North"/>
    <d v="2025-01-16T00:00:00"/>
    <n v="111"/>
    <n v="0"/>
    <s v="None"/>
    <s v="Completed"/>
    <s v="Free"/>
    <n v="38"/>
    <s v="No"/>
    <x v="1"/>
    <x v="0"/>
    <x v="1"/>
    <x v="0"/>
  </r>
  <r>
    <s v="S00050"/>
    <s v="P5155"/>
    <s v="Griffinsarah"/>
    <s v="SpeedX"/>
    <s v="Mobile"/>
    <s v="Central"/>
    <d v="2025-01-01T00:00:00"/>
    <n v="82"/>
    <n v="0"/>
    <s v="None"/>
    <s v="Incomplete"/>
    <s v="Free"/>
    <n v="26"/>
    <s v="No"/>
    <x v="1"/>
    <x v="0"/>
    <x v="1"/>
    <x v="0"/>
  </r>
  <r>
    <s v="S00469"/>
    <s v="P2925"/>
    <s v="Kgonzalez"/>
    <s v="Clash of Realms"/>
    <s v="Mobile"/>
    <s v="East"/>
    <d v="2025-01-08T00:00:00"/>
    <n v="166"/>
    <n v="23.59"/>
    <s v="Battle Pass"/>
    <s v="Completed"/>
    <s v="Paid"/>
    <n v="19"/>
    <s v="Yes"/>
    <x v="1"/>
    <x v="0"/>
    <x v="0"/>
    <x v="1"/>
  </r>
  <r>
    <s v="S00063"/>
    <s v="P3641"/>
    <s v="Davischristopher"/>
    <s v="Zombie Rush"/>
    <s v="Console"/>
    <s v="West"/>
    <d v="2025-01-01T00:00:00"/>
    <n v="77"/>
    <n v="39.880000000000003"/>
    <s v="Skins"/>
    <s v="Completed"/>
    <s v="Paid"/>
    <n v="25"/>
    <s v="No"/>
    <x v="1"/>
    <x v="0"/>
    <x v="0"/>
    <x v="0"/>
  </r>
  <r>
    <s v="S00067"/>
    <s v="P9667"/>
    <s v="Harrisonsteven"/>
    <s v="SpeedX"/>
    <s v="PC"/>
    <s v="West"/>
    <d v="2025-01-05T00:00:00"/>
    <n v="64"/>
    <n v="0"/>
    <s v="None"/>
    <s v="Exited Early"/>
    <s v="Free"/>
    <n v="13"/>
    <s v="No"/>
    <x v="1"/>
    <x v="0"/>
    <x v="1"/>
    <x v="0"/>
  </r>
  <r>
    <s v="S00069"/>
    <s v="P8527"/>
    <s v="Claudiasilva"/>
    <s v="Empire Wars"/>
    <s v="Console"/>
    <s v="East"/>
    <d v="2025-01-17T00:00:00"/>
    <n v="165"/>
    <n v="0"/>
    <s v="None"/>
    <s v="Completed"/>
    <s v="Free"/>
    <n v="15"/>
    <s v="Yes"/>
    <x v="1"/>
    <x v="0"/>
    <x v="1"/>
    <x v="1"/>
  </r>
  <r>
    <s v="S00070"/>
    <s v="P6322"/>
    <s v="Noah21"/>
    <s v="Clash of Realms"/>
    <s v="PC"/>
    <s v="West"/>
    <d v="2025-01-25T00:00:00"/>
    <n v="79"/>
    <n v="0"/>
    <s v="None"/>
    <s v="Exited Early"/>
    <s v="Free"/>
    <n v="18"/>
    <s v="No"/>
    <x v="1"/>
    <x v="0"/>
    <x v="1"/>
    <x v="0"/>
  </r>
  <r>
    <s v="S00072"/>
    <s v="P3539"/>
    <s v="Martinderrick"/>
    <s v="Zombie Rush"/>
    <s v="Console"/>
    <s v="South"/>
    <d v="2025-01-02T00:00:00"/>
    <n v="84"/>
    <n v="0"/>
    <s v="None"/>
    <s v="Completed"/>
    <s v="Free"/>
    <n v="11"/>
    <s v="No"/>
    <x v="1"/>
    <x v="0"/>
    <x v="1"/>
    <x v="0"/>
  </r>
  <r>
    <s v="S00074"/>
    <s v="P8845"/>
    <s v="Connerkevin"/>
    <s v="BattleZone"/>
    <s v="Console"/>
    <s v="North"/>
    <d v="2025-01-08T00:00:00"/>
    <n v="147"/>
    <n v="0"/>
    <s v="None"/>
    <s v="Completed"/>
    <s v="Free"/>
    <n v="14"/>
    <s v="No"/>
    <x v="1"/>
    <x v="0"/>
    <x v="1"/>
    <x v="0"/>
  </r>
  <r>
    <s v="S00458"/>
    <s v="P8552"/>
    <s v="Jbriggs"/>
    <s v="Clash of Realms"/>
    <s v="Console"/>
    <s v="South"/>
    <d v="2025-01-09T00:00:00"/>
    <n v="92"/>
    <n v="0"/>
    <s v="None"/>
    <s v="Completed"/>
    <s v="Free"/>
    <n v="33"/>
    <s v="No"/>
    <x v="1"/>
    <x v="0"/>
    <x v="1"/>
    <x v="0"/>
  </r>
  <r>
    <s v="S00455"/>
    <s v="P4283"/>
    <s v="Sheiladavis"/>
    <s v="Clash of Realms"/>
    <s v="PC"/>
    <s v="Central"/>
    <d v="2025-01-12T00:00:00"/>
    <n v="123"/>
    <n v="22.4"/>
    <s v="Skins"/>
    <s v="Completed"/>
    <s v="Paid"/>
    <n v="33"/>
    <s v="No"/>
    <x v="1"/>
    <x v="0"/>
    <x v="0"/>
    <x v="0"/>
  </r>
  <r>
    <s v="S00090"/>
    <s v="P3420"/>
    <s v="Boylejeffrey"/>
    <s v="Empire Wars"/>
    <s v="Mobile"/>
    <s v="North-East"/>
    <d v="2025-01-04T00:00:00"/>
    <n v="115"/>
    <n v="0"/>
    <s v="None"/>
    <s v="Completed"/>
    <s v="Free"/>
    <n v="17"/>
    <s v="No"/>
    <x v="1"/>
    <x v="0"/>
    <x v="1"/>
    <x v="0"/>
  </r>
  <r>
    <s v="S00102"/>
    <s v="P1736"/>
    <s v="Qserrano"/>
    <s v="Zombie Rush"/>
    <s v="Mobile"/>
    <s v="East"/>
    <d v="2025-01-20T00:00:00"/>
    <n v="180"/>
    <n v="0"/>
    <s v="None"/>
    <s v="Completed"/>
    <s v="Free"/>
    <n v="28"/>
    <s v="Yes"/>
    <x v="1"/>
    <x v="0"/>
    <x v="1"/>
    <x v="1"/>
  </r>
  <r>
    <s v="S00106"/>
    <s v="P8823"/>
    <s v="Blakewallace"/>
    <s v="BattleZone"/>
    <s v="Mobile"/>
    <s v="Central"/>
    <d v="2025-01-28T00:00:00"/>
    <n v="101"/>
    <n v="0"/>
    <s v="None"/>
    <s v="Completed"/>
    <s v="Free"/>
    <n v="6"/>
    <s v="No"/>
    <x v="1"/>
    <x v="0"/>
    <x v="1"/>
    <x v="0"/>
  </r>
  <r>
    <s v="S00443"/>
    <s v="P9493"/>
    <s v="Zmendoza"/>
    <s v="Clash of Realms"/>
    <s v="Mobile"/>
    <s v="North-East"/>
    <d v="2025-01-21T00:00:00"/>
    <n v="96"/>
    <n v="0"/>
    <s v="None"/>
    <s v="Completed"/>
    <s v="Paid"/>
    <n v="38"/>
    <s v="No"/>
    <x v="1"/>
    <x v="0"/>
    <x v="1"/>
    <x v="0"/>
  </r>
  <r>
    <s v="S00121"/>
    <s v="P7130"/>
    <s v="Elee"/>
    <s v="Clash of Realms"/>
    <s v="Console"/>
    <s v="North"/>
    <d v="2025-01-31T00:00:00"/>
    <n v="142"/>
    <n v="0"/>
    <s v="None"/>
    <s v="Completed"/>
    <s v="Free"/>
    <n v="3"/>
    <s v="No"/>
    <x v="1"/>
    <x v="0"/>
    <x v="1"/>
    <x v="0"/>
  </r>
  <r>
    <s v="S00124"/>
    <s v="P9571"/>
    <s v="Haroldsawyer"/>
    <s v="Empire Wars"/>
    <s v="PC"/>
    <s v="South"/>
    <d v="2025-01-10T00:00:00"/>
    <n v="123"/>
    <n v="0"/>
    <s v="None"/>
    <s v="Crashed"/>
    <s v="Free"/>
    <n v="12"/>
    <s v="No"/>
    <x v="1"/>
    <x v="0"/>
    <x v="1"/>
    <x v="0"/>
  </r>
  <r>
    <s v="S00127"/>
    <s v="P6411"/>
    <s v="Jacobsonmichael"/>
    <s v="BattleZone"/>
    <s v="Console"/>
    <s v="West"/>
    <d v="2025-01-04T00:00:00"/>
    <n v="153"/>
    <n v="0"/>
    <s v="None"/>
    <s v="Exited Early"/>
    <s v="Free"/>
    <n v="15"/>
    <s v="Yes"/>
    <x v="1"/>
    <x v="0"/>
    <x v="1"/>
    <x v="1"/>
  </r>
  <r>
    <s v="S00130"/>
    <s v="P9652"/>
    <s v="Vedwards"/>
    <s v="Zombie Rush"/>
    <s v="Mobile"/>
    <s v="East"/>
    <d v="2025-01-13T00:00:00"/>
    <n v="133"/>
    <n v="0"/>
    <s v="None"/>
    <s v="Completed"/>
    <s v="Free"/>
    <n v="35"/>
    <s v="No"/>
    <x v="1"/>
    <x v="0"/>
    <x v="1"/>
    <x v="0"/>
  </r>
  <r>
    <s v="S00135"/>
    <s v="P9368"/>
    <s v="Thomasmonica"/>
    <s v="SpeedX"/>
    <s v="PC"/>
    <s v="East"/>
    <d v="2025-01-01T00:00:00"/>
    <n v="175"/>
    <n v="0"/>
    <s v="None"/>
    <s v="Completed"/>
    <s v="Free"/>
    <n v="49"/>
    <s v="Yes"/>
    <x v="1"/>
    <x v="0"/>
    <x v="1"/>
    <x v="1"/>
  </r>
  <r>
    <s v="S00142"/>
    <s v="P7235"/>
    <s v="Reedchad"/>
    <s v="Clash of Realms"/>
    <s v="PC"/>
    <s v="West"/>
    <d v="2025-01-28T00:00:00"/>
    <n v="106"/>
    <n v="0"/>
    <s v="None"/>
    <s v="Completed"/>
    <s v="Free"/>
    <n v="15"/>
    <s v="No"/>
    <x v="1"/>
    <x v="0"/>
    <x v="1"/>
    <x v="0"/>
  </r>
  <r>
    <s v="S00432"/>
    <s v="P2427"/>
    <s v="Kacosta"/>
    <s v="Zombie Rush"/>
    <s v="PC"/>
    <s v="Central"/>
    <d v="2025-01-23T00:00:00"/>
    <n v="139"/>
    <n v="0"/>
    <s v="None"/>
    <s v="Completed"/>
    <s v="Free"/>
    <n v="37"/>
    <s v="No"/>
    <x v="1"/>
    <x v="0"/>
    <x v="1"/>
    <x v="0"/>
  </r>
  <r>
    <s v="S00148"/>
    <s v="P6441"/>
    <s v="Melissa77"/>
    <s v="Empire Wars"/>
    <s v="Console"/>
    <s v="East"/>
    <d v="2025-01-26T00:00:00"/>
    <n v="99"/>
    <n v="0"/>
    <s v="None"/>
    <s v="Completed"/>
    <s v="Free"/>
    <n v="2"/>
    <s v="No"/>
    <x v="1"/>
    <x v="0"/>
    <x v="1"/>
    <x v="0"/>
  </r>
  <r>
    <s v="S00430"/>
    <s v="P8542"/>
    <s v="Brian05"/>
    <s v="Empire Wars"/>
    <s v="Mobile"/>
    <s v="East"/>
    <d v="2025-01-27T00:00:00"/>
    <n v="156"/>
    <n v="0"/>
    <s v="None"/>
    <s v="Completed"/>
    <s v="Free"/>
    <n v="6"/>
    <s v="Yes"/>
    <x v="1"/>
    <x v="0"/>
    <x v="1"/>
    <x v="1"/>
  </r>
  <r>
    <s v="S00151"/>
    <s v="P5644"/>
    <s v="Harrispamela"/>
    <s v="Empire Wars"/>
    <s v="PC"/>
    <s v="North"/>
    <d v="2025-01-09T00:00:00"/>
    <n v="169"/>
    <n v="0"/>
    <s v="None"/>
    <s v="Completed"/>
    <s v="Free"/>
    <n v="30"/>
    <s v="Yes"/>
    <x v="1"/>
    <x v="0"/>
    <x v="1"/>
    <x v="1"/>
  </r>
  <r>
    <s v="S00426"/>
    <s v="P8176"/>
    <s v="Enielsen"/>
    <s v="BattleZone"/>
    <s v="Mobile"/>
    <s v="North"/>
    <d v="2025-01-12T00:00:00"/>
    <n v="79"/>
    <n v="0"/>
    <s v="None"/>
    <s v="Completed"/>
    <s v="Free"/>
    <n v="30"/>
    <s v="No"/>
    <x v="1"/>
    <x v="0"/>
    <x v="1"/>
    <x v="0"/>
  </r>
  <r>
    <s v="S00424"/>
    <s v="P8632"/>
    <s v="Nramos"/>
    <s v="Zombie Rush"/>
    <s v="Console"/>
    <s v="South"/>
    <d v="2025-01-19T00:00:00"/>
    <n v="146"/>
    <n v="22.51"/>
    <s v="Battle Pass"/>
    <s v="Exited Early"/>
    <s v="Paid"/>
    <n v="25"/>
    <s v="No"/>
    <x v="1"/>
    <x v="0"/>
    <x v="0"/>
    <x v="0"/>
  </r>
  <r>
    <s v="S00413"/>
    <s v="P5355"/>
    <s v="Bruce10"/>
    <s v="Empire Wars"/>
    <s v="Console"/>
    <s v="North-East"/>
    <d v="2025-01-20T00:00:00"/>
    <n v="144"/>
    <n v="0"/>
    <s v="None"/>
    <s v="Completed"/>
    <s v="Free"/>
    <n v="3"/>
    <s v="No"/>
    <x v="1"/>
    <x v="0"/>
    <x v="1"/>
    <x v="0"/>
  </r>
  <r>
    <s v="S00411"/>
    <s v="P3311"/>
    <s v="Riddleaaron"/>
    <s v="Clash of Realms"/>
    <s v="Console"/>
    <s v="East"/>
    <d v="2025-01-16T00:00:00"/>
    <n v="166"/>
    <n v="0"/>
    <s v="None"/>
    <s v="Incomplete"/>
    <s v="Free"/>
    <n v="5"/>
    <s v="Yes"/>
    <x v="1"/>
    <x v="0"/>
    <x v="1"/>
    <x v="1"/>
  </r>
  <r>
    <s v="S00178"/>
    <s v="P4333"/>
    <s v="Matthewcasey"/>
    <s v="Empire Wars"/>
    <s v="Mobile"/>
    <s v="North"/>
    <d v="2025-01-05T00:00:00"/>
    <n v="100"/>
    <n v="0"/>
    <s v="None"/>
    <s v="Completed"/>
    <s v="Free"/>
    <n v="7"/>
    <s v="No"/>
    <x v="1"/>
    <x v="0"/>
    <x v="1"/>
    <x v="0"/>
  </r>
  <r>
    <s v="S00191"/>
    <s v="P6734"/>
    <s v="Christine87"/>
    <s v="BattleZone"/>
    <s v="Mobile"/>
    <s v="West"/>
    <d v="2025-01-25T00:00:00"/>
    <n v="130"/>
    <n v="0"/>
    <s v="None"/>
    <s v="Completed"/>
    <s v="Paid"/>
    <n v="8"/>
    <s v="No"/>
    <x v="1"/>
    <x v="0"/>
    <x v="1"/>
    <x v="0"/>
  </r>
  <r>
    <s v="S00386"/>
    <s v="P5885"/>
    <s v="Olopez"/>
    <s v="Zombie Rush"/>
    <s v="Console"/>
    <s v="North-East"/>
    <d v="2025-01-06T00:00:00"/>
    <n v="157"/>
    <n v="0"/>
    <s v="None"/>
    <s v="Completed"/>
    <s v="Free"/>
    <n v="22"/>
    <s v="Yes"/>
    <x v="1"/>
    <x v="0"/>
    <x v="1"/>
    <x v="1"/>
  </r>
  <r>
    <s v="S00384"/>
    <s v="P6967"/>
    <s v="Zvargas"/>
    <s v="SpeedX"/>
    <s v="Mobile"/>
    <s v="East"/>
    <d v="2025-01-27T00:00:00"/>
    <n v="79"/>
    <n v="0"/>
    <s v="None"/>
    <s v="Completed"/>
    <s v="Free"/>
    <n v="48"/>
    <s v="No"/>
    <x v="1"/>
    <x v="0"/>
    <x v="1"/>
    <x v="0"/>
  </r>
  <r>
    <s v="S00215"/>
    <s v="P2904"/>
    <s v="William77"/>
    <s v="Clash of Realms"/>
    <s v="PC"/>
    <s v="Central"/>
    <d v="2025-01-31T00:00:00"/>
    <n v="147"/>
    <n v="0"/>
    <s v="None"/>
    <s v="Completed"/>
    <s v="Free"/>
    <n v="48"/>
    <s v="No"/>
    <x v="1"/>
    <x v="0"/>
    <x v="1"/>
    <x v="0"/>
  </r>
  <r>
    <s v="S00222"/>
    <s v="P9392"/>
    <s v="Scott81"/>
    <s v="SpeedX"/>
    <s v="PC"/>
    <s v="East"/>
    <d v="2025-01-26T00:00:00"/>
    <n v="80"/>
    <n v="0"/>
    <s v="None"/>
    <s v="Exited Early"/>
    <s v="Free"/>
    <n v="39"/>
    <s v="No"/>
    <x v="1"/>
    <x v="0"/>
    <x v="1"/>
    <x v="0"/>
  </r>
  <r>
    <s v="S00224"/>
    <s v="P4744"/>
    <s v="Jeansmall"/>
    <s v="Clash of Realms"/>
    <s v="Mobile"/>
    <s v="Central"/>
    <d v="2025-01-26T00:00:00"/>
    <n v="113"/>
    <n v="0"/>
    <s v="None"/>
    <s v="Completed"/>
    <s v="Free"/>
    <n v="46"/>
    <s v="No"/>
    <x v="1"/>
    <x v="0"/>
    <x v="1"/>
    <x v="0"/>
  </r>
  <r>
    <s v="S00225"/>
    <s v="P1940"/>
    <s v="Richard18"/>
    <s v="SpeedX"/>
    <s v="Mobile"/>
    <s v="East"/>
    <d v="2025-01-06T00:00:00"/>
    <n v="117"/>
    <n v="23.32"/>
    <s v="Boosters"/>
    <s v="Completed"/>
    <s v="Paid"/>
    <n v="11"/>
    <s v="No"/>
    <x v="1"/>
    <x v="0"/>
    <x v="0"/>
    <x v="0"/>
  </r>
  <r>
    <s v="S00226"/>
    <s v="P7147"/>
    <s v="Jayroberts"/>
    <s v="BattleZone"/>
    <s v="Console"/>
    <s v="West"/>
    <d v="2025-01-31T00:00:00"/>
    <n v="71"/>
    <n v="0"/>
    <s v="None"/>
    <s v="Completed"/>
    <s v="Free"/>
    <n v="37"/>
    <s v="No"/>
    <x v="1"/>
    <x v="0"/>
    <x v="1"/>
    <x v="0"/>
  </r>
  <r>
    <s v="S00227"/>
    <s v="P9650"/>
    <s v="Lpowers"/>
    <s v="Empire Wars"/>
    <s v="Mobile"/>
    <s v="South"/>
    <d v="2025-01-23T00:00:00"/>
    <n v="132"/>
    <n v="0"/>
    <s v="None"/>
    <s v="Completed"/>
    <s v="Paid"/>
    <n v="50"/>
    <s v="No"/>
    <x v="1"/>
    <x v="0"/>
    <x v="1"/>
    <x v="0"/>
  </r>
  <r>
    <s v="S00239"/>
    <s v="P3944"/>
    <s v="Zthomas"/>
    <s v="SpeedX"/>
    <s v="Mobile"/>
    <s v="South"/>
    <d v="2025-01-27T00:00:00"/>
    <n v="112"/>
    <n v="2.2599999999999998"/>
    <s v="Subscriptions"/>
    <s v="Completed"/>
    <s v="Paid"/>
    <n v="22"/>
    <s v="No"/>
    <x v="1"/>
    <x v="0"/>
    <x v="0"/>
    <x v="0"/>
  </r>
  <r>
    <s v="S00242"/>
    <s v="P7057"/>
    <s v="Anthony60"/>
    <s v="Zombie Rush"/>
    <s v="Console"/>
    <s v="North-East"/>
    <d v="2025-01-03T00:00:00"/>
    <n v="115"/>
    <n v="0"/>
    <s v="None"/>
    <s v="Completed"/>
    <s v="Free"/>
    <n v="18"/>
    <s v="No"/>
    <x v="1"/>
    <x v="0"/>
    <x v="1"/>
    <x v="0"/>
  </r>
  <r>
    <s v="S00245"/>
    <s v="P8881"/>
    <s v="Carpenterjohn"/>
    <s v="SpeedX"/>
    <s v="Mobile"/>
    <s v="Central"/>
    <d v="2025-01-18T00:00:00"/>
    <n v="142"/>
    <n v="0"/>
    <s v="None"/>
    <s v="Completed"/>
    <s v="Free"/>
    <n v="11"/>
    <s v="No"/>
    <x v="1"/>
    <x v="0"/>
    <x v="1"/>
    <x v="0"/>
  </r>
  <r>
    <s v="S00246"/>
    <s v="P4807"/>
    <s v="Alexwilson"/>
    <s v="BattleZone"/>
    <s v="Console"/>
    <s v="Central"/>
    <d v="2025-01-18T00:00:00"/>
    <n v="154"/>
    <n v="0"/>
    <s v="None"/>
    <s v="Completed"/>
    <s v="Free"/>
    <n v="8"/>
    <s v="Yes"/>
    <x v="1"/>
    <x v="0"/>
    <x v="1"/>
    <x v="1"/>
  </r>
  <r>
    <s v="S00364"/>
    <s v="P9065"/>
    <s v="Andrewtran"/>
    <s v="Clash of Realms"/>
    <s v="Console"/>
    <s v="South"/>
    <d v="2025-01-12T00:00:00"/>
    <n v="91"/>
    <n v="0"/>
    <s v="None"/>
    <s v="Completed"/>
    <s v="Free"/>
    <n v="31"/>
    <s v="No"/>
    <x v="1"/>
    <x v="0"/>
    <x v="1"/>
    <x v="0"/>
  </r>
  <r>
    <s v="S00363"/>
    <s v="P8050"/>
    <s v="Andersonwilliam"/>
    <s v="SpeedX"/>
    <s v="Console"/>
    <s v="West"/>
    <d v="2025-01-14T00:00:00"/>
    <n v="102"/>
    <n v="0"/>
    <s v="None"/>
    <s v="Completed"/>
    <s v="Free"/>
    <n v="2"/>
    <s v="No"/>
    <x v="1"/>
    <x v="0"/>
    <x v="1"/>
    <x v="0"/>
  </r>
  <r>
    <s v="S00258"/>
    <s v="P1212"/>
    <s v="Hporter"/>
    <s v="Zombie Rush"/>
    <s v="Mobile"/>
    <s v="South"/>
    <d v="2025-01-27T00:00:00"/>
    <n v="142"/>
    <n v="8.64"/>
    <s v="Boosters"/>
    <s v="Crashed"/>
    <s v="Paid"/>
    <n v="25"/>
    <s v="No"/>
    <x v="1"/>
    <x v="0"/>
    <x v="0"/>
    <x v="0"/>
  </r>
  <r>
    <s v="S00265"/>
    <s v="P2068"/>
    <s v="Vanessasmith"/>
    <s v="SpeedX"/>
    <s v="Mobile"/>
    <s v="South"/>
    <d v="2025-01-23T00:00:00"/>
    <n v="131"/>
    <n v="0"/>
    <s v="None"/>
    <s v="Crashed"/>
    <s v="Free"/>
    <n v="3"/>
    <s v="No"/>
    <x v="1"/>
    <x v="0"/>
    <x v="1"/>
    <x v="0"/>
  </r>
  <r>
    <s v="S00274"/>
    <s v="P4950"/>
    <s v="Megan08"/>
    <s v="Empire Wars"/>
    <s v="PC"/>
    <s v="North"/>
    <d v="2025-01-13T00:00:00"/>
    <n v="130"/>
    <n v="0"/>
    <s v="None"/>
    <s v="Completed"/>
    <s v="Free"/>
    <n v="49"/>
    <s v="No"/>
    <x v="1"/>
    <x v="0"/>
    <x v="1"/>
    <x v="0"/>
  </r>
  <r>
    <s v="S00281"/>
    <s v="P5712"/>
    <s v="Brandon14"/>
    <s v="Zombie Rush"/>
    <s v="Console"/>
    <s v="North-East"/>
    <d v="2025-01-14T00:00:00"/>
    <n v="179"/>
    <n v="0"/>
    <s v="None"/>
    <s v="Completed"/>
    <s v="Paid"/>
    <n v="34"/>
    <s v="Yes"/>
    <x v="1"/>
    <x v="0"/>
    <x v="1"/>
    <x v="1"/>
  </r>
  <r>
    <s v="S00295"/>
    <s v="P8996"/>
    <s v="Sbrown"/>
    <s v="Empire Wars"/>
    <s v="Mobile"/>
    <s v="Central"/>
    <d v="2025-01-12T00:00:00"/>
    <n v="61"/>
    <n v="0"/>
    <s v="None"/>
    <s v="Completed"/>
    <s v="Free"/>
    <n v="30"/>
    <s v="No"/>
    <x v="1"/>
    <x v="0"/>
    <x v="1"/>
    <x v="0"/>
  </r>
  <r>
    <s v="S00300"/>
    <s v="P8477"/>
    <s v="Smallalice"/>
    <s v="Zombie Rush"/>
    <s v="Console"/>
    <s v="East"/>
    <d v="2025-01-07T00:00:00"/>
    <n v="90"/>
    <n v="0"/>
    <s v="None"/>
    <s v="Exited Early"/>
    <s v="Free"/>
    <n v="3"/>
    <s v="No"/>
    <x v="1"/>
    <x v="0"/>
    <x v="1"/>
    <x v="0"/>
  </r>
  <r>
    <s v="S00335"/>
    <s v="P5228"/>
    <s v="Melissa44"/>
    <s v="Empire Wars"/>
    <s v="PC"/>
    <s v="East"/>
    <d v="2025-01-08T00:00:00"/>
    <n v="159"/>
    <n v="0"/>
    <s v="None"/>
    <s v="Completed"/>
    <s v="Free"/>
    <n v="20"/>
    <s v="Yes"/>
    <x v="1"/>
    <x v="0"/>
    <x v="1"/>
    <x v="1"/>
  </r>
  <r>
    <s v="S00311"/>
    <s v="P6038"/>
    <s v="Tbarker"/>
    <s v="BattleZone"/>
    <s v="Mobile"/>
    <s v="North-East"/>
    <d v="2025-01-25T00:00:00"/>
    <n v="81"/>
    <n v="0"/>
    <s v="None"/>
    <s v="Incomplete"/>
    <s v="Free"/>
    <n v="21"/>
    <s v="No"/>
    <x v="1"/>
    <x v="0"/>
    <x v="1"/>
    <x v="0"/>
  </r>
  <r>
    <s v="S00313"/>
    <s v="P9354"/>
    <s v="Jameswanda"/>
    <s v="BattleZone"/>
    <s v="PC"/>
    <s v="West"/>
    <d v="2025-01-07T00:00:00"/>
    <n v="85"/>
    <n v="0"/>
    <s v="None"/>
    <s v="Completed"/>
    <s v="Free"/>
    <n v="28"/>
    <s v="No"/>
    <x v="1"/>
    <x v="0"/>
    <x v="1"/>
    <x v="0"/>
  </r>
  <r>
    <s v="S00317"/>
    <s v="P2939"/>
    <s v="Millersarah"/>
    <s v="SpeedX"/>
    <s v="PC"/>
    <s v="South"/>
    <d v="2025-01-09T00:00:00"/>
    <n v="73"/>
    <n v="0"/>
    <s v="None"/>
    <s v="Incomplete"/>
    <s v="Free"/>
    <n v="15"/>
    <s v="No"/>
    <x v="1"/>
    <x v="0"/>
    <x v="1"/>
    <x v="0"/>
  </r>
  <r>
    <s v="S00319"/>
    <s v="P2067"/>
    <s v="Waltersnicholas"/>
    <s v="Zombie Rush"/>
    <s v="PC"/>
    <s v="North"/>
    <d v="2025-01-21T00:00:00"/>
    <n v="152"/>
    <n v="0"/>
    <s v="None"/>
    <s v="Completed"/>
    <s v="Free"/>
    <n v="31"/>
    <s v="Yes"/>
    <x v="1"/>
    <x v="0"/>
    <x v="1"/>
    <x v="1"/>
  </r>
  <r>
    <s v="S00320"/>
    <s v="P1338"/>
    <s v="Hharris"/>
    <s v="BattleZone"/>
    <s v="PC"/>
    <s v="Central"/>
    <d v="2025-01-31T00:00:00"/>
    <n v="156"/>
    <n v="0"/>
    <s v="None"/>
    <s v="Crashed"/>
    <s v="Free"/>
    <n v="14"/>
    <s v="Yes"/>
    <x v="1"/>
    <x v="0"/>
    <x v="1"/>
    <x v="1"/>
  </r>
  <r>
    <s v="S00322"/>
    <s v="P6010"/>
    <s v="Emilyking"/>
    <s v="BattleZone"/>
    <s v="PC"/>
    <s v="South"/>
    <d v="2025-01-21T00:00:00"/>
    <n v="128"/>
    <n v="0"/>
    <s v="None"/>
    <s v="Completed"/>
    <s v="Free"/>
    <n v="35"/>
    <s v="No"/>
    <x v="1"/>
    <x v="0"/>
    <x v="1"/>
    <x v="0"/>
  </r>
  <r>
    <s v="S00001"/>
    <s v="P3652"/>
    <s v="Harrisrichard"/>
    <s v="BattleZone"/>
    <s v="Console"/>
    <s v="East"/>
    <d v="2025-02-08T00:00:00"/>
    <n v="179"/>
    <n v="0"/>
    <s v="None"/>
    <s v="Completed"/>
    <s v="Free"/>
    <n v="42"/>
    <s v="Yes"/>
    <x v="2"/>
    <x v="0"/>
    <x v="1"/>
    <x v="1"/>
  </r>
  <r>
    <s v="S00497"/>
    <s v="P1457"/>
    <s v="Kenneth92"/>
    <s v="Empire Wars"/>
    <s v="Mobile"/>
    <s v="West"/>
    <d v="2025-02-14T00:00:00"/>
    <n v="157"/>
    <n v="26.84"/>
    <s v="Boosters"/>
    <s v="Completed"/>
    <s v="Paid"/>
    <n v="25"/>
    <s v="Yes"/>
    <x v="2"/>
    <x v="0"/>
    <x v="0"/>
    <x v="1"/>
  </r>
  <r>
    <s v="S00020"/>
    <s v="P6549"/>
    <s v="Michael06"/>
    <s v="Zombie Rush"/>
    <s v="Mobile"/>
    <s v="Central"/>
    <d v="2025-02-14T00:00:00"/>
    <n v="94"/>
    <n v="0"/>
    <s v="None"/>
    <s v="Crashed"/>
    <s v="Free"/>
    <n v="48"/>
    <s v="No"/>
    <x v="2"/>
    <x v="0"/>
    <x v="1"/>
    <x v="0"/>
  </r>
  <r>
    <s v="S00028"/>
    <s v="P4851"/>
    <s v="Wlawson"/>
    <s v="SpeedX"/>
    <s v="Mobile"/>
    <s v="North-East"/>
    <d v="2025-02-04T00:00:00"/>
    <n v="105"/>
    <n v="0"/>
    <s v="None"/>
    <s v="Completed"/>
    <s v="Free"/>
    <n v="11"/>
    <s v="No"/>
    <x v="2"/>
    <x v="0"/>
    <x v="1"/>
    <x v="0"/>
  </r>
  <r>
    <s v="S00031"/>
    <s v="P3683"/>
    <s v="Rebekah64"/>
    <s v="Empire Wars"/>
    <s v="Mobile"/>
    <s v="North-East"/>
    <d v="2025-02-06T00:00:00"/>
    <n v="96"/>
    <n v="0"/>
    <s v="None"/>
    <s v="Completed"/>
    <s v="Free"/>
    <n v="43"/>
    <s v="No"/>
    <x v="2"/>
    <x v="0"/>
    <x v="1"/>
    <x v="0"/>
  </r>
  <r>
    <s v="S00033"/>
    <s v="P4554"/>
    <s v="Odavis"/>
    <s v="Clash of Realms"/>
    <s v="PC"/>
    <s v="North-East"/>
    <d v="2025-02-08T00:00:00"/>
    <n v="165"/>
    <n v="0"/>
    <s v="None"/>
    <s v="Completed"/>
    <s v="Free"/>
    <n v="23"/>
    <s v="Yes"/>
    <x v="2"/>
    <x v="0"/>
    <x v="1"/>
    <x v="1"/>
  </r>
  <r>
    <s v="S00039"/>
    <s v="P3668"/>
    <s v="Jenniferwilcox"/>
    <s v="SpeedX"/>
    <s v="Mobile"/>
    <s v="Central"/>
    <d v="2025-02-14T00:00:00"/>
    <n v="154"/>
    <n v="0"/>
    <s v="None"/>
    <s v="Completed"/>
    <s v="Free"/>
    <n v="44"/>
    <s v="Yes"/>
    <x v="2"/>
    <x v="0"/>
    <x v="1"/>
    <x v="1"/>
  </r>
  <r>
    <s v="S00481"/>
    <s v="P5458"/>
    <s v="Georgejones"/>
    <s v="Empire Wars"/>
    <s v="PC"/>
    <s v="North-East"/>
    <d v="2025-02-01T00:00:00"/>
    <n v="134"/>
    <n v="0"/>
    <s v="None"/>
    <s v="Completed"/>
    <s v="Free"/>
    <n v="41"/>
    <s v="No"/>
    <x v="2"/>
    <x v="0"/>
    <x v="1"/>
    <x v="0"/>
  </r>
  <r>
    <s v="S00044"/>
    <s v="P5497"/>
    <s v="Vmooney"/>
    <s v="BattleZone"/>
    <s v="Console"/>
    <s v="West"/>
    <d v="2025-02-04T00:00:00"/>
    <n v="67"/>
    <n v="0"/>
    <s v="None"/>
    <s v="Exited Early"/>
    <s v="Free"/>
    <n v="16"/>
    <s v="No"/>
    <x v="2"/>
    <x v="0"/>
    <x v="1"/>
    <x v="0"/>
  </r>
  <r>
    <s v="S00476"/>
    <s v="P9766"/>
    <s v="Smithcarrie"/>
    <s v="Zombie Rush"/>
    <s v="Mobile"/>
    <s v="South"/>
    <d v="2025-02-05T00:00:00"/>
    <n v="85"/>
    <n v="0"/>
    <s v="None"/>
    <s v="Incomplete"/>
    <s v="Paid"/>
    <n v="12"/>
    <s v="No"/>
    <x v="2"/>
    <x v="0"/>
    <x v="1"/>
    <x v="0"/>
  </r>
  <r>
    <s v="S00048"/>
    <s v="P1178"/>
    <s v="Nathan33"/>
    <s v="BattleZone"/>
    <s v="Console"/>
    <s v="North"/>
    <d v="2025-02-04T00:00:00"/>
    <n v="115"/>
    <n v="22.35"/>
    <s v="Subscriptions"/>
    <s v="Completed"/>
    <s v="Paid"/>
    <n v="43"/>
    <s v="No"/>
    <x v="2"/>
    <x v="0"/>
    <x v="0"/>
    <x v="0"/>
  </r>
  <r>
    <s v="S00463"/>
    <s v="P3252"/>
    <s v="Wallacedebra"/>
    <s v="BattleZone"/>
    <s v="PC"/>
    <s v="North"/>
    <d v="2025-02-06T00:00:00"/>
    <n v="94"/>
    <n v="0"/>
    <s v="None"/>
    <s v="Completed"/>
    <s v="Free"/>
    <n v="43"/>
    <s v="No"/>
    <x v="2"/>
    <x v="0"/>
    <x v="1"/>
    <x v="0"/>
  </r>
  <r>
    <s v="S00077"/>
    <s v="P6534"/>
    <s v="Lindsay74"/>
    <s v="SpeedX"/>
    <s v="PC"/>
    <s v="West"/>
    <d v="2025-02-04T00:00:00"/>
    <n v="128"/>
    <n v="0"/>
    <s v="None"/>
    <s v="Incomplete"/>
    <s v="Free"/>
    <n v="40"/>
    <s v="No"/>
    <x v="2"/>
    <x v="0"/>
    <x v="1"/>
    <x v="0"/>
  </r>
  <r>
    <s v="S00454"/>
    <s v="P4547"/>
    <s v="Allenvictor"/>
    <s v="SpeedX"/>
    <s v="Mobile"/>
    <s v="North"/>
    <d v="2025-02-20T00:00:00"/>
    <n v="142"/>
    <n v="0"/>
    <s v="None"/>
    <s v="Completed"/>
    <s v="Free"/>
    <n v="32"/>
    <s v="No"/>
    <x v="2"/>
    <x v="0"/>
    <x v="1"/>
    <x v="0"/>
  </r>
  <r>
    <s v="S00096"/>
    <s v="P7669"/>
    <s v="Melanie00"/>
    <s v="SpeedX"/>
    <s v="Console"/>
    <s v="Central"/>
    <d v="2025-02-24T00:00:00"/>
    <n v="158"/>
    <n v="0"/>
    <s v="None"/>
    <s v="Completed"/>
    <s v="Paid"/>
    <n v="17"/>
    <s v="Yes"/>
    <x v="2"/>
    <x v="0"/>
    <x v="1"/>
    <x v="1"/>
  </r>
  <r>
    <s v="S00097"/>
    <s v="P1126"/>
    <s v="Richardward"/>
    <s v="Zombie Rush"/>
    <s v="PC"/>
    <s v="West"/>
    <d v="2025-02-22T00:00:00"/>
    <n v="122"/>
    <n v="0"/>
    <s v="None"/>
    <s v="Completed"/>
    <s v="Free"/>
    <n v="9"/>
    <s v="No"/>
    <x v="2"/>
    <x v="0"/>
    <x v="1"/>
    <x v="0"/>
  </r>
  <r>
    <s v="S00441"/>
    <s v="P4138"/>
    <s v="Ecooley"/>
    <s v="BattleZone"/>
    <s v="Mobile"/>
    <s v="East"/>
    <d v="2025-02-25T00:00:00"/>
    <n v="150"/>
    <n v="0"/>
    <s v="None"/>
    <s v="Completed"/>
    <s v="Free"/>
    <n v="46"/>
    <s v="No"/>
    <x v="2"/>
    <x v="0"/>
    <x v="1"/>
    <x v="0"/>
  </r>
  <r>
    <s v="S00437"/>
    <s v="P1726"/>
    <s v="Sheila89"/>
    <s v="BattleZone"/>
    <s v="PC"/>
    <s v="Central"/>
    <d v="2025-02-20T00:00:00"/>
    <n v="101"/>
    <n v="0"/>
    <s v="None"/>
    <s v="Incomplete"/>
    <s v="Free"/>
    <n v="5"/>
    <s v="No"/>
    <x v="2"/>
    <x v="0"/>
    <x v="1"/>
    <x v="0"/>
  </r>
  <r>
    <s v="S00149"/>
    <s v="P2573"/>
    <s v="Pkim"/>
    <s v="Empire Wars"/>
    <s v="Mobile"/>
    <s v="Central"/>
    <d v="2025-02-05T00:00:00"/>
    <n v="133"/>
    <n v="0"/>
    <s v="None"/>
    <s v="Completed"/>
    <s v="Free"/>
    <n v="26"/>
    <s v="No"/>
    <x v="2"/>
    <x v="0"/>
    <x v="1"/>
    <x v="0"/>
  </r>
  <r>
    <s v="S00423"/>
    <s v="P8641"/>
    <s v="Johnsonandrea"/>
    <s v="SpeedX"/>
    <s v="Console"/>
    <s v="South"/>
    <d v="2025-02-12T00:00:00"/>
    <n v="166"/>
    <n v="0"/>
    <s v="None"/>
    <s v="Completed"/>
    <s v="Free"/>
    <n v="43"/>
    <s v="Yes"/>
    <x v="2"/>
    <x v="0"/>
    <x v="1"/>
    <x v="1"/>
  </r>
  <r>
    <s v="S00158"/>
    <s v="P4783"/>
    <s v="Gsmith"/>
    <s v="Empire Wars"/>
    <s v="Console"/>
    <s v="West"/>
    <d v="2025-02-12T00:00:00"/>
    <n v="79"/>
    <n v="0"/>
    <s v="None"/>
    <s v="Completed"/>
    <s v="Free"/>
    <n v="44"/>
    <s v="No"/>
    <x v="2"/>
    <x v="0"/>
    <x v="1"/>
    <x v="0"/>
  </r>
  <r>
    <s v="S00174"/>
    <s v="P4796"/>
    <s v="Okoch"/>
    <s v="Clash of Realms"/>
    <s v="PC"/>
    <s v="West"/>
    <d v="2025-02-28T00:00:00"/>
    <n v="84"/>
    <n v="0"/>
    <s v="None"/>
    <s v="Completed"/>
    <s v="Free"/>
    <n v="15"/>
    <s v="No"/>
    <x v="2"/>
    <x v="0"/>
    <x v="1"/>
    <x v="0"/>
  </r>
  <r>
    <s v="S00175"/>
    <s v="P6406"/>
    <s v="Shannonevans"/>
    <s v="SpeedX"/>
    <s v="Console"/>
    <s v="East"/>
    <d v="2025-02-27T00:00:00"/>
    <n v="138"/>
    <n v="27.01"/>
    <s v="Boosters"/>
    <s v="Completed"/>
    <s v="Paid"/>
    <n v="18"/>
    <s v="No"/>
    <x v="2"/>
    <x v="0"/>
    <x v="0"/>
    <x v="0"/>
  </r>
  <r>
    <s v="S00410"/>
    <s v="P2497"/>
    <s v="Thomas01"/>
    <s v="Empire Wars"/>
    <s v="Console"/>
    <s v="North-East"/>
    <d v="2025-02-13T00:00:00"/>
    <n v="154"/>
    <n v="0"/>
    <s v="None"/>
    <s v="Completed"/>
    <s v="Free"/>
    <n v="27"/>
    <s v="Yes"/>
    <x v="2"/>
    <x v="0"/>
    <x v="1"/>
    <x v="1"/>
  </r>
  <r>
    <s v="S00408"/>
    <s v="P9402"/>
    <s v="Hoffmandaniel"/>
    <s v="SpeedX"/>
    <s v="Console"/>
    <s v="East"/>
    <d v="2025-02-08T00:00:00"/>
    <n v="144"/>
    <n v="0"/>
    <s v="None"/>
    <s v="Incomplete"/>
    <s v="Free"/>
    <n v="36"/>
    <s v="No"/>
    <x v="2"/>
    <x v="0"/>
    <x v="1"/>
    <x v="0"/>
  </r>
  <r>
    <s v="S00407"/>
    <s v="P8156"/>
    <s v="Melissaphillips"/>
    <s v="BattleZone"/>
    <s v="Mobile"/>
    <s v="North-East"/>
    <d v="2025-02-13T00:00:00"/>
    <n v="111"/>
    <n v="46.08"/>
    <s v="Boosters"/>
    <s v="Crashed"/>
    <s v="Paid"/>
    <n v="15"/>
    <s v="Yes"/>
    <x v="2"/>
    <x v="0"/>
    <x v="0"/>
    <x v="1"/>
  </r>
  <r>
    <s v="S00405"/>
    <s v="P6700"/>
    <s v="Armstrongmary"/>
    <s v="Clash of Realms"/>
    <s v="Console"/>
    <s v="North"/>
    <d v="2025-02-12T00:00:00"/>
    <n v="111"/>
    <n v="0"/>
    <s v="None"/>
    <s v="Completed"/>
    <s v="Free"/>
    <n v="26"/>
    <s v="No"/>
    <x v="2"/>
    <x v="0"/>
    <x v="1"/>
    <x v="0"/>
  </r>
  <r>
    <s v="S00187"/>
    <s v="P6989"/>
    <s v="Schultzkatherine"/>
    <s v="BattleZone"/>
    <s v="PC"/>
    <s v="West"/>
    <d v="2025-02-26T00:00:00"/>
    <n v="128"/>
    <n v="0"/>
    <s v="None"/>
    <s v="Crashed"/>
    <s v="Free"/>
    <n v="36"/>
    <s v="No"/>
    <x v="2"/>
    <x v="0"/>
    <x v="1"/>
    <x v="0"/>
  </r>
  <r>
    <s v="S00398"/>
    <s v="P6922"/>
    <s v="Aprince"/>
    <s v="SpeedX"/>
    <s v="PC"/>
    <s v="East"/>
    <d v="2025-02-15T00:00:00"/>
    <n v="129"/>
    <n v="0"/>
    <s v="None"/>
    <s v="Incomplete"/>
    <s v="Free"/>
    <n v="37"/>
    <s v="No"/>
    <x v="2"/>
    <x v="0"/>
    <x v="1"/>
    <x v="0"/>
  </r>
  <r>
    <s v="S00393"/>
    <s v="P1494"/>
    <s v="Steven30"/>
    <s v="Empire Wars"/>
    <s v="Mobile"/>
    <s v="West"/>
    <d v="2025-02-15T00:00:00"/>
    <n v="166"/>
    <n v="0"/>
    <s v="None"/>
    <s v="Completed"/>
    <s v="Free"/>
    <n v="39"/>
    <s v="Yes"/>
    <x v="2"/>
    <x v="0"/>
    <x v="1"/>
    <x v="1"/>
  </r>
  <r>
    <s v="S00369"/>
    <s v="P6367"/>
    <s v="Iyoung"/>
    <s v="SpeedX"/>
    <s v="PC"/>
    <s v="Central"/>
    <d v="2025-02-26T00:00:00"/>
    <n v="67"/>
    <n v="0"/>
    <s v="None"/>
    <s v="Exited Early"/>
    <s v="Free"/>
    <n v="48"/>
    <s v="No"/>
    <x v="2"/>
    <x v="0"/>
    <x v="1"/>
    <x v="0"/>
  </r>
  <r>
    <s v="S00238"/>
    <s v="P4599"/>
    <s v="Wrightjulia"/>
    <s v="Clash of Realms"/>
    <s v="Mobile"/>
    <s v="North"/>
    <d v="2025-02-27T00:00:00"/>
    <n v="117"/>
    <n v="0"/>
    <s v="None"/>
    <s v="Exited Early"/>
    <s v="Free"/>
    <n v="21"/>
    <s v="No"/>
    <x v="2"/>
    <x v="0"/>
    <x v="1"/>
    <x v="0"/>
  </r>
  <r>
    <s v="S00366"/>
    <s v="P8007"/>
    <s v="Kelly45"/>
    <s v="Empire Wars"/>
    <s v="Mobile"/>
    <s v="North-East"/>
    <d v="2025-02-22T00:00:00"/>
    <n v="80"/>
    <n v="42.33"/>
    <s v="Boosters"/>
    <s v="Completed"/>
    <s v="Paid"/>
    <n v="23"/>
    <s v="Yes"/>
    <x v="2"/>
    <x v="0"/>
    <x v="0"/>
    <x v="1"/>
  </r>
  <r>
    <s v="S00250"/>
    <s v="P2357"/>
    <s v="Coxlauren"/>
    <s v="BattleZone"/>
    <s v="Mobile"/>
    <s v="North-East"/>
    <d v="2025-02-15T00:00:00"/>
    <n v="66"/>
    <n v="0"/>
    <s v="None"/>
    <s v="Incomplete"/>
    <s v="Paid"/>
    <n v="38"/>
    <s v="No"/>
    <x v="2"/>
    <x v="0"/>
    <x v="1"/>
    <x v="0"/>
  </r>
  <r>
    <s v="S00359"/>
    <s v="P8092"/>
    <s v="Lisacoffey"/>
    <s v="Zombie Rush"/>
    <s v="Console"/>
    <s v="Central"/>
    <d v="2025-02-02T00:00:00"/>
    <n v="63"/>
    <n v="0"/>
    <s v="None"/>
    <s v="Crashed"/>
    <s v="Free"/>
    <n v="4"/>
    <s v="No"/>
    <x v="2"/>
    <x v="0"/>
    <x v="1"/>
    <x v="0"/>
  </r>
  <r>
    <s v="S00357"/>
    <s v="P7149"/>
    <s v="Sara36"/>
    <s v="Zombie Rush"/>
    <s v="Console"/>
    <s v="Central"/>
    <d v="2025-02-01T00:00:00"/>
    <n v="84"/>
    <n v="23.18"/>
    <s v="Subscriptions"/>
    <s v="Completed"/>
    <s v="Paid"/>
    <n v="2"/>
    <s v="No"/>
    <x v="2"/>
    <x v="0"/>
    <x v="0"/>
    <x v="0"/>
  </r>
  <r>
    <s v="S00279"/>
    <s v="P8384"/>
    <s v="Walkernathan"/>
    <s v="Empire Wars"/>
    <s v="PC"/>
    <s v="South"/>
    <d v="2025-02-02T00:00:00"/>
    <n v="91"/>
    <n v="0"/>
    <s v="None"/>
    <s v="Completed"/>
    <s v="Free"/>
    <n v="22"/>
    <s v="No"/>
    <x v="2"/>
    <x v="0"/>
    <x v="1"/>
    <x v="0"/>
  </r>
  <r>
    <s v="S00280"/>
    <s v="P9835"/>
    <s v="Leslie88"/>
    <s v="BattleZone"/>
    <s v="Console"/>
    <s v="North"/>
    <d v="2025-02-20T00:00:00"/>
    <n v="127"/>
    <n v="40.21"/>
    <s v="Battle Pass"/>
    <s v="Completed"/>
    <s v="Paid"/>
    <n v="38"/>
    <s v="Yes"/>
    <x v="2"/>
    <x v="0"/>
    <x v="0"/>
    <x v="1"/>
  </r>
  <r>
    <s v="S00284"/>
    <s v="P4597"/>
    <s v="John69"/>
    <s v="SpeedX"/>
    <s v="PC"/>
    <s v="North"/>
    <d v="2025-02-20T00:00:00"/>
    <n v="112"/>
    <n v="13.89"/>
    <s v="Battle Pass"/>
    <s v="Crashed"/>
    <s v="Paid"/>
    <n v="25"/>
    <s v="No"/>
    <x v="2"/>
    <x v="0"/>
    <x v="0"/>
    <x v="0"/>
  </r>
  <r>
    <s v="S00287"/>
    <s v="P8328"/>
    <s v="Floresnatalie"/>
    <s v="Clash of Realms"/>
    <s v="PC"/>
    <s v="North"/>
    <d v="2025-02-16T00:00:00"/>
    <n v="80"/>
    <n v="0"/>
    <s v="None"/>
    <s v="Completed"/>
    <s v="Free"/>
    <n v="16"/>
    <s v="No"/>
    <x v="2"/>
    <x v="0"/>
    <x v="1"/>
    <x v="0"/>
  </r>
  <r>
    <s v="S00301"/>
    <s v="P1529"/>
    <s v="Nicole11"/>
    <s v="Empire Wars"/>
    <s v="Mobile"/>
    <s v="Central"/>
    <d v="2025-02-20T00:00:00"/>
    <n v="70"/>
    <n v="19.62"/>
    <s v="Skins"/>
    <s v="Completed"/>
    <s v="Paid"/>
    <n v="47"/>
    <s v="No"/>
    <x v="2"/>
    <x v="0"/>
    <x v="0"/>
    <x v="0"/>
  </r>
  <r>
    <s v="S00308"/>
    <s v="P6026"/>
    <s v="Ogarcia"/>
    <s v="SpeedX"/>
    <s v="Console"/>
    <s v="East"/>
    <d v="2025-02-20T00:00:00"/>
    <n v="178"/>
    <n v="38.369999999999997"/>
    <s v="Battle Pass"/>
    <s v="Completed"/>
    <s v="Paid"/>
    <n v="32"/>
    <s v="Yes"/>
    <x v="2"/>
    <x v="0"/>
    <x v="0"/>
    <x v="1"/>
  </r>
  <r>
    <s v="S00492"/>
    <s v="P6606"/>
    <s v="Scott72"/>
    <s v="SpeedX"/>
    <s v="PC"/>
    <s v="North"/>
    <d v="2025-03-22T00:00:00"/>
    <n v="63"/>
    <n v="0"/>
    <s v="None"/>
    <s v="Completed"/>
    <s v="Free"/>
    <n v="4"/>
    <s v="No"/>
    <x v="3"/>
    <x v="0"/>
    <x v="1"/>
    <x v="0"/>
  </r>
  <r>
    <s v="S00013"/>
    <s v="P4776"/>
    <s v="Xjoseph"/>
    <s v="SpeedX"/>
    <s v="Mobile"/>
    <s v="South"/>
    <d v="2025-03-08T00:00:00"/>
    <n v="100"/>
    <n v="0"/>
    <s v="None"/>
    <s v="Completed"/>
    <s v="Free"/>
    <n v="36"/>
    <s v="No"/>
    <x v="3"/>
    <x v="0"/>
    <x v="1"/>
    <x v="0"/>
  </r>
  <r>
    <s v="S00015"/>
    <s v="P9150"/>
    <s v="Lesliemiller"/>
    <s v="Empire Wars"/>
    <s v="PC"/>
    <s v="West"/>
    <d v="2025-03-03T00:00:00"/>
    <n v="151"/>
    <n v="0"/>
    <s v="None"/>
    <s v="Completed"/>
    <s v="Free"/>
    <n v="47"/>
    <s v="Yes"/>
    <x v="3"/>
    <x v="0"/>
    <x v="1"/>
    <x v="1"/>
  </r>
  <r>
    <s v="S00024"/>
    <s v="P8146"/>
    <s v="Rcraig"/>
    <s v="SpeedX"/>
    <s v="PC"/>
    <s v="West"/>
    <d v="2025-03-24T00:00:00"/>
    <n v="121"/>
    <n v="7.28"/>
    <s v="Boosters"/>
    <s v="Completed"/>
    <s v="Paid"/>
    <n v="34"/>
    <s v="No"/>
    <x v="3"/>
    <x v="0"/>
    <x v="0"/>
    <x v="0"/>
  </r>
  <r>
    <s v="S00485"/>
    <s v="P3923"/>
    <s v="Bhenson"/>
    <s v="Clash of Realms"/>
    <s v="Mobile"/>
    <s v="East"/>
    <d v="2025-03-09T00:00:00"/>
    <n v="64"/>
    <n v="0"/>
    <s v="None"/>
    <s v="Crashed"/>
    <s v="Free"/>
    <n v="33"/>
    <s v="No"/>
    <x v="3"/>
    <x v="0"/>
    <x v="1"/>
    <x v="0"/>
  </r>
  <r>
    <s v="S00026"/>
    <s v="P3548"/>
    <s v="Erica07"/>
    <s v="Empire Wars"/>
    <s v="PC"/>
    <s v="North-East"/>
    <d v="2025-03-25T00:00:00"/>
    <n v="96"/>
    <n v="0"/>
    <s v="None"/>
    <s v="Completed"/>
    <s v="Paid"/>
    <n v="17"/>
    <s v="No"/>
    <x v="3"/>
    <x v="0"/>
    <x v="1"/>
    <x v="0"/>
  </r>
  <r>
    <s v="S00483"/>
    <s v="P6524"/>
    <s v="Neallisa"/>
    <s v="Zombie Rush"/>
    <s v="Mobile"/>
    <s v="North-East"/>
    <d v="2025-03-01T00:00:00"/>
    <n v="149"/>
    <n v="5.05"/>
    <s v="Boosters"/>
    <s v="Completed"/>
    <s v="Paid"/>
    <n v="44"/>
    <s v="No"/>
    <x v="3"/>
    <x v="0"/>
    <x v="0"/>
    <x v="0"/>
  </r>
  <r>
    <s v="S00035"/>
    <s v="P2965"/>
    <s v="Sonya77"/>
    <s v="SpeedX"/>
    <s v="PC"/>
    <s v="South"/>
    <d v="2025-03-13T00:00:00"/>
    <n v="140"/>
    <n v="0"/>
    <s v="None"/>
    <s v="Completed"/>
    <s v="Free"/>
    <n v="26"/>
    <s v="No"/>
    <x v="3"/>
    <x v="0"/>
    <x v="1"/>
    <x v="0"/>
  </r>
  <r>
    <s v="S00037"/>
    <s v="P2861"/>
    <s v="Leahlee"/>
    <s v="Clash of Realms"/>
    <s v="PC"/>
    <s v="North"/>
    <d v="2025-03-05T00:00:00"/>
    <n v="149"/>
    <n v="0"/>
    <s v="None"/>
    <s v="Completed"/>
    <s v="Free"/>
    <n v="48"/>
    <s v="No"/>
    <x v="3"/>
    <x v="0"/>
    <x v="1"/>
    <x v="0"/>
  </r>
  <r>
    <s v="S00054"/>
    <s v="P5714"/>
    <s v="Fforbes"/>
    <s v="BattleZone"/>
    <s v="PC"/>
    <s v="West"/>
    <d v="2025-03-11T00:00:00"/>
    <n v="136"/>
    <n v="0"/>
    <s v="None"/>
    <s v="Completed"/>
    <s v="Free"/>
    <n v="11"/>
    <s v="No"/>
    <x v="3"/>
    <x v="0"/>
    <x v="1"/>
    <x v="0"/>
  </r>
  <r>
    <s v="S00465"/>
    <s v="P1878"/>
    <s v="Steven19"/>
    <s v="Empire Wars"/>
    <s v="Mobile"/>
    <s v="North-East"/>
    <d v="2025-03-09T00:00:00"/>
    <n v="172"/>
    <n v="0"/>
    <s v="None"/>
    <s v="Completed"/>
    <s v="Free"/>
    <n v="15"/>
    <s v="Yes"/>
    <x v="3"/>
    <x v="0"/>
    <x v="1"/>
    <x v="1"/>
  </r>
  <r>
    <s v="S00062"/>
    <s v="P1805"/>
    <s v="Charlesjohnson"/>
    <s v="SpeedX"/>
    <s v="Mobile"/>
    <s v="West"/>
    <d v="2025-03-23T00:00:00"/>
    <n v="153"/>
    <n v="0"/>
    <s v="None"/>
    <s v="Completed"/>
    <s v="Paid"/>
    <n v="44"/>
    <s v="Yes"/>
    <x v="3"/>
    <x v="0"/>
    <x v="1"/>
    <x v="1"/>
  </r>
  <r>
    <s v="S00079"/>
    <s v="P9765"/>
    <s v="Hannah41"/>
    <s v="SpeedX"/>
    <s v="PC"/>
    <s v="North"/>
    <d v="2025-03-27T00:00:00"/>
    <n v="112"/>
    <n v="0"/>
    <s v="None"/>
    <s v="Completed"/>
    <s v="Free"/>
    <n v="21"/>
    <s v="No"/>
    <x v="3"/>
    <x v="0"/>
    <x v="1"/>
    <x v="0"/>
  </r>
  <r>
    <s v="S00082"/>
    <s v="P7193"/>
    <s v="Tlloyd"/>
    <s v="Zombie Rush"/>
    <s v="PC"/>
    <s v="South"/>
    <d v="2025-03-23T00:00:00"/>
    <n v="144"/>
    <n v="0"/>
    <s v="None"/>
    <s v="Completed"/>
    <s v="Free"/>
    <n v="35"/>
    <s v="No"/>
    <x v="3"/>
    <x v="0"/>
    <x v="1"/>
    <x v="0"/>
  </r>
  <r>
    <s v="S00456"/>
    <s v="P8176"/>
    <s v="Tgill"/>
    <s v="BattleZone"/>
    <s v="Console"/>
    <s v="South"/>
    <d v="2025-03-19T00:00:00"/>
    <n v="132"/>
    <n v="28.89"/>
    <s v="Battle Pass"/>
    <s v="Completed"/>
    <s v="Paid"/>
    <n v="26"/>
    <s v="No"/>
    <x v="3"/>
    <x v="0"/>
    <x v="0"/>
    <x v="0"/>
  </r>
  <r>
    <s v="S00450"/>
    <s v="P3198"/>
    <s v="Bherrera"/>
    <s v="Zombie Rush"/>
    <s v="Mobile"/>
    <s v="East"/>
    <d v="2025-03-08T00:00:00"/>
    <n v="63"/>
    <n v="0"/>
    <s v="None"/>
    <s v="Completed"/>
    <s v="Free"/>
    <n v="25"/>
    <s v="No"/>
    <x v="3"/>
    <x v="0"/>
    <x v="1"/>
    <x v="0"/>
  </r>
  <r>
    <s v="S00087"/>
    <s v="P9792"/>
    <s v="Jack75"/>
    <s v="BattleZone"/>
    <s v="Console"/>
    <s v="South"/>
    <d v="2025-03-03T00:00:00"/>
    <n v="100"/>
    <n v="0"/>
    <s v="None"/>
    <s v="Completed"/>
    <s v="Free"/>
    <n v="50"/>
    <s v="No"/>
    <x v="3"/>
    <x v="0"/>
    <x v="1"/>
    <x v="0"/>
  </r>
  <r>
    <s v="S00094"/>
    <s v="P6677"/>
    <s v="Qwatson"/>
    <s v="SpeedX"/>
    <s v="Console"/>
    <s v="North-East"/>
    <d v="2025-03-15T00:00:00"/>
    <n v="143"/>
    <n v="0"/>
    <s v="None"/>
    <s v="Exited Early"/>
    <s v="Free"/>
    <n v="10"/>
    <s v="No"/>
    <x v="3"/>
    <x v="0"/>
    <x v="1"/>
    <x v="0"/>
  </r>
  <r>
    <s v="S00099"/>
    <s v="P9800"/>
    <s v="Sroach"/>
    <s v="Empire Wars"/>
    <s v="Console"/>
    <s v="East"/>
    <d v="2025-03-22T00:00:00"/>
    <n v="173"/>
    <n v="0"/>
    <s v="None"/>
    <s v="Completed"/>
    <s v="Free"/>
    <n v="37"/>
    <s v="Yes"/>
    <x v="3"/>
    <x v="0"/>
    <x v="1"/>
    <x v="1"/>
  </r>
  <r>
    <s v="S00108"/>
    <s v="P4776"/>
    <s v="Amydunn"/>
    <s v="Empire Wars"/>
    <s v="Console"/>
    <s v="West"/>
    <d v="2025-03-31T00:00:00"/>
    <n v="153"/>
    <n v="0"/>
    <s v="None"/>
    <s v="Crashed"/>
    <s v="Free"/>
    <n v="25"/>
    <s v="Yes"/>
    <x v="3"/>
    <x v="0"/>
    <x v="1"/>
    <x v="1"/>
  </r>
  <r>
    <s v="S00434"/>
    <s v="P2246"/>
    <s v="Lisajames"/>
    <s v="Empire Wars"/>
    <s v="Mobile"/>
    <s v="South"/>
    <d v="2025-03-23T00:00:00"/>
    <n v="80"/>
    <n v="0"/>
    <s v="None"/>
    <s v="Incomplete"/>
    <s v="Free"/>
    <n v="3"/>
    <s v="No"/>
    <x v="3"/>
    <x v="0"/>
    <x v="1"/>
    <x v="0"/>
  </r>
  <r>
    <s v="S00154"/>
    <s v="P8055"/>
    <s v="Davidsingleton"/>
    <s v="BattleZone"/>
    <s v="Mobile"/>
    <s v="West"/>
    <d v="2025-03-05T00:00:00"/>
    <n v="118"/>
    <n v="46.55"/>
    <s v="Battle Pass"/>
    <s v="Completed"/>
    <s v="Paid"/>
    <n v="45"/>
    <s v="Yes"/>
    <x v="3"/>
    <x v="0"/>
    <x v="0"/>
    <x v="1"/>
  </r>
  <r>
    <s v="S00165"/>
    <s v="P6225"/>
    <s v="Adam91"/>
    <s v="BattleZone"/>
    <s v="PC"/>
    <s v="East"/>
    <d v="2025-03-22T00:00:00"/>
    <n v="139"/>
    <n v="0"/>
    <s v="None"/>
    <s v="Completed"/>
    <s v="Free"/>
    <n v="26"/>
    <s v="No"/>
    <x v="3"/>
    <x v="0"/>
    <x v="1"/>
    <x v="0"/>
  </r>
  <r>
    <s v="S00168"/>
    <s v="P6734"/>
    <s v="Whitemary"/>
    <s v="SpeedX"/>
    <s v="PC"/>
    <s v="North-East"/>
    <d v="2025-03-09T00:00:00"/>
    <n v="82"/>
    <n v="0"/>
    <s v="None"/>
    <s v="Exited Early"/>
    <s v="Free"/>
    <n v="17"/>
    <s v="No"/>
    <x v="3"/>
    <x v="0"/>
    <x v="1"/>
    <x v="0"/>
  </r>
  <r>
    <s v="S00180"/>
    <s v="P9205"/>
    <s v="Douglas13"/>
    <s v="Zombie Rush"/>
    <s v="PC"/>
    <s v="South"/>
    <d v="2025-03-27T00:00:00"/>
    <n v="90"/>
    <n v="33.43"/>
    <s v="Boosters"/>
    <s v="Exited Early"/>
    <s v="Paid"/>
    <n v="50"/>
    <s v="No"/>
    <x v="3"/>
    <x v="0"/>
    <x v="0"/>
    <x v="0"/>
  </r>
  <r>
    <s v="S00396"/>
    <s v="P2202"/>
    <s v="Soliskyle"/>
    <s v="SpeedX"/>
    <s v="Mobile"/>
    <s v="East"/>
    <d v="2025-03-23T00:00:00"/>
    <n v="88"/>
    <n v="0"/>
    <s v="None"/>
    <s v="Completed"/>
    <s v="Free"/>
    <n v="2"/>
    <s v="No"/>
    <x v="3"/>
    <x v="0"/>
    <x v="1"/>
    <x v="0"/>
  </r>
  <r>
    <s v="S00379"/>
    <s v="P1302"/>
    <s v="Tdavis"/>
    <s v="Clash of Realms"/>
    <s v="Mobile"/>
    <s v="South"/>
    <d v="2025-03-17T00:00:00"/>
    <n v="167"/>
    <n v="0"/>
    <s v="None"/>
    <s v="Exited Early"/>
    <s v="Paid"/>
    <n v="28"/>
    <s v="Yes"/>
    <x v="3"/>
    <x v="0"/>
    <x v="1"/>
    <x v="1"/>
  </r>
  <r>
    <s v="S00212"/>
    <s v="P4216"/>
    <s v="Sheilawatkins"/>
    <s v="BattleZone"/>
    <s v="Console"/>
    <s v="Central"/>
    <d v="2025-03-22T00:00:00"/>
    <n v="141"/>
    <n v="0"/>
    <s v="None"/>
    <s v="Completed"/>
    <s v="Free"/>
    <n v="17"/>
    <s v="No"/>
    <x v="3"/>
    <x v="0"/>
    <x v="1"/>
    <x v="0"/>
  </r>
  <r>
    <s v="S00220"/>
    <s v="P7757"/>
    <s v="Tonyachristensen"/>
    <s v="Empire Wars"/>
    <s v="Console"/>
    <s v="Central"/>
    <d v="2025-03-04T00:00:00"/>
    <n v="154"/>
    <n v="0"/>
    <s v="None"/>
    <s v="Completed"/>
    <s v="Free"/>
    <n v="26"/>
    <s v="Yes"/>
    <x v="3"/>
    <x v="0"/>
    <x v="1"/>
    <x v="1"/>
  </r>
  <r>
    <s v="S00370"/>
    <s v="P1693"/>
    <s v="Huntlawrence"/>
    <s v="Clash of Realms"/>
    <s v="Mobile"/>
    <s v="North-East"/>
    <d v="2025-03-06T00:00:00"/>
    <n v="144"/>
    <n v="0"/>
    <s v="None"/>
    <s v="Exited Early"/>
    <s v="Free"/>
    <n v="9"/>
    <s v="No"/>
    <x v="3"/>
    <x v="0"/>
    <x v="1"/>
    <x v="0"/>
  </r>
  <r>
    <s v="S00354"/>
    <s v="P4996"/>
    <s v="Jmcknight"/>
    <s v="Empire Wars"/>
    <s v="Console"/>
    <s v="South"/>
    <d v="2025-03-01T00:00:00"/>
    <n v="136"/>
    <n v="0"/>
    <s v="None"/>
    <s v="Completed"/>
    <s v="Free"/>
    <n v="50"/>
    <s v="No"/>
    <x v="3"/>
    <x v="0"/>
    <x v="1"/>
    <x v="0"/>
  </r>
  <r>
    <s v="S00352"/>
    <s v="P8561"/>
    <s v="Boonekristen"/>
    <s v="Zombie Rush"/>
    <s v="Mobile"/>
    <s v="North-East"/>
    <d v="2025-03-15T00:00:00"/>
    <n v="127"/>
    <n v="0"/>
    <s v="None"/>
    <s v="Completed"/>
    <s v="Free"/>
    <n v="13"/>
    <s v="No"/>
    <x v="3"/>
    <x v="0"/>
    <x v="1"/>
    <x v="0"/>
  </r>
  <r>
    <s v="S00272"/>
    <s v="P4911"/>
    <s v="Mmorgan"/>
    <s v="SpeedX"/>
    <s v="PC"/>
    <s v="North"/>
    <d v="2025-03-05T00:00:00"/>
    <n v="91"/>
    <n v="45.51"/>
    <s v="Skins"/>
    <s v="Completed"/>
    <s v="Paid"/>
    <n v="8"/>
    <s v="Yes"/>
    <x v="3"/>
    <x v="0"/>
    <x v="0"/>
    <x v="1"/>
  </r>
  <r>
    <s v="S00276"/>
    <s v="P2232"/>
    <s v="Donovantrevor"/>
    <s v="Zombie Rush"/>
    <s v="PC"/>
    <s v="North"/>
    <d v="2025-03-22T00:00:00"/>
    <n v="71"/>
    <n v="0"/>
    <s v="None"/>
    <s v="Completed"/>
    <s v="Free"/>
    <n v="38"/>
    <s v="No"/>
    <x v="3"/>
    <x v="0"/>
    <x v="1"/>
    <x v="0"/>
  </r>
  <r>
    <s v="S00277"/>
    <s v="P8649"/>
    <s v="Melanie33"/>
    <s v="Zombie Rush"/>
    <s v="Mobile"/>
    <s v="North"/>
    <d v="2025-03-19T00:00:00"/>
    <n v="63"/>
    <n v="0"/>
    <s v="None"/>
    <s v="Completed"/>
    <s v="Free"/>
    <n v="49"/>
    <s v="No"/>
    <x v="3"/>
    <x v="0"/>
    <x v="1"/>
    <x v="0"/>
  </r>
  <r>
    <s v="S00278"/>
    <s v="P7465"/>
    <s v="Foxdawn"/>
    <s v="Zombie Rush"/>
    <s v="Console"/>
    <s v="North"/>
    <d v="2025-03-28T00:00:00"/>
    <n v="175"/>
    <n v="0"/>
    <s v="None"/>
    <s v="Crashed"/>
    <s v="Free"/>
    <n v="33"/>
    <s v="Yes"/>
    <x v="3"/>
    <x v="0"/>
    <x v="1"/>
    <x v="1"/>
  </r>
  <r>
    <s v="S00282"/>
    <s v="P7701"/>
    <s v="Carmenbutler"/>
    <s v="SpeedX"/>
    <s v="Mobile"/>
    <s v="Central"/>
    <d v="2025-03-11T00:00:00"/>
    <n v="160"/>
    <n v="0"/>
    <s v="None"/>
    <s v="Completed"/>
    <s v="Free"/>
    <n v="1"/>
    <s v="Yes"/>
    <x v="3"/>
    <x v="0"/>
    <x v="1"/>
    <x v="1"/>
  </r>
  <r>
    <s v="S00288"/>
    <s v="P8167"/>
    <s v="Tyler13"/>
    <s v="BattleZone"/>
    <s v="Mobile"/>
    <s v="Central"/>
    <d v="2025-03-30T00:00:00"/>
    <n v="69"/>
    <n v="0"/>
    <s v="None"/>
    <s v="Incomplete"/>
    <s v="Paid"/>
    <n v="17"/>
    <s v="No"/>
    <x v="3"/>
    <x v="0"/>
    <x v="1"/>
    <x v="0"/>
  </r>
  <r>
    <s v="S00296"/>
    <s v="P1051"/>
    <s v="Kevin42"/>
    <s v="Empire Wars"/>
    <s v="PC"/>
    <s v="South"/>
    <d v="2025-03-03T00:00:00"/>
    <n v="178"/>
    <n v="0"/>
    <s v="None"/>
    <s v="Completed"/>
    <s v="Free"/>
    <n v="30"/>
    <s v="Yes"/>
    <x v="3"/>
    <x v="0"/>
    <x v="1"/>
    <x v="1"/>
  </r>
  <r>
    <s v="S00336"/>
    <s v="P4680"/>
    <s v="Jack69"/>
    <s v="Empire Wars"/>
    <s v="PC"/>
    <s v="East"/>
    <d v="2025-03-16T00:00:00"/>
    <n v="161"/>
    <n v="45.73"/>
    <s v="Boosters"/>
    <s v="Completed"/>
    <s v="Paid"/>
    <n v="4"/>
    <s v="Yes"/>
    <x v="3"/>
    <x v="0"/>
    <x v="0"/>
    <x v="1"/>
  </r>
  <r>
    <s v="S00305"/>
    <s v="P2330"/>
    <s v="Davidmendoza"/>
    <s v="Empire Wars"/>
    <s v="Console"/>
    <s v="North"/>
    <d v="2025-03-03T00:00:00"/>
    <n v="62"/>
    <n v="0"/>
    <s v="None"/>
    <s v="Incomplete"/>
    <s v="Free"/>
    <n v="19"/>
    <s v="No"/>
    <x v="3"/>
    <x v="0"/>
    <x v="1"/>
    <x v="0"/>
  </r>
  <r>
    <s v="S00332"/>
    <s v="P4764"/>
    <s v="Johnsonjulie"/>
    <s v="SpeedX"/>
    <s v="Console"/>
    <s v="East"/>
    <d v="2025-03-18T00:00:00"/>
    <n v="180"/>
    <n v="0"/>
    <s v="None"/>
    <s v="Completed"/>
    <s v="Free"/>
    <n v="18"/>
    <s v="Yes"/>
    <x v="3"/>
    <x v="0"/>
    <x v="1"/>
    <x v="1"/>
  </r>
  <r>
    <s v="S00314"/>
    <s v="P6556"/>
    <s v="Dennis63"/>
    <s v="SpeedX"/>
    <s v="Console"/>
    <s v="South"/>
    <d v="2025-03-11T00:00:00"/>
    <n v="158"/>
    <n v="0"/>
    <s v="None"/>
    <s v="Crashed"/>
    <s v="Free"/>
    <n v="22"/>
    <s v="Yes"/>
    <x v="3"/>
    <x v="0"/>
    <x v="1"/>
    <x v="1"/>
  </r>
  <r>
    <s v="S00316"/>
    <s v="P3050"/>
    <s v="Gonzalezcindy"/>
    <s v="Clash of Realms"/>
    <s v="PC"/>
    <s v="West"/>
    <d v="2025-03-31T00:00:00"/>
    <n v="179"/>
    <n v="0"/>
    <s v="None"/>
    <s v="Completed"/>
    <s v="Free"/>
    <n v="5"/>
    <s v="Yes"/>
    <x v="3"/>
    <x v="0"/>
    <x v="1"/>
    <x v="1"/>
  </r>
  <r>
    <s v="S00318"/>
    <s v="P4946"/>
    <s v="Thompsontodd"/>
    <s v="Empire Wars"/>
    <s v="PC"/>
    <s v="East"/>
    <d v="2025-03-31T00:00:00"/>
    <n v="83"/>
    <n v="0"/>
    <s v="None"/>
    <s v="Completed"/>
    <s v="Free"/>
    <n v="1"/>
    <s v="No"/>
    <x v="3"/>
    <x v="0"/>
    <x v="1"/>
    <x v="0"/>
  </r>
  <r>
    <s v="S00326"/>
    <s v="P2231"/>
    <s v="Jeffreyjimenez"/>
    <s v="Clash of Realms"/>
    <s v="PC"/>
    <s v="North"/>
    <d v="2025-03-11T00:00:00"/>
    <n v="90"/>
    <n v="0"/>
    <s v="None"/>
    <s v="Completed"/>
    <s v="Free"/>
    <n v="50"/>
    <s v="No"/>
    <x v="3"/>
    <x v="0"/>
    <x v="1"/>
    <x v="0"/>
  </r>
  <r>
    <s v="S00007"/>
    <s v="P7231"/>
    <s v="Holmesbruce"/>
    <s v="Clash of Realms"/>
    <s v="Console"/>
    <s v="North-East"/>
    <d v="2025-04-12T00:00:00"/>
    <n v="134"/>
    <n v="42.57"/>
    <s v="Battle Pass"/>
    <s v="Exited Early"/>
    <s v="Paid"/>
    <n v="40"/>
    <s v="Yes"/>
    <x v="4"/>
    <x v="0"/>
    <x v="0"/>
    <x v="1"/>
  </r>
  <r>
    <s v="S00012"/>
    <s v="P7407"/>
    <s v="Jacobhaynes"/>
    <s v="Zombie Rush"/>
    <s v="PC"/>
    <s v="North"/>
    <d v="2025-04-21T00:00:00"/>
    <n v="142"/>
    <n v="0"/>
    <s v="None"/>
    <s v="Completed"/>
    <s v="Free"/>
    <n v="23"/>
    <s v="No"/>
    <x v="4"/>
    <x v="0"/>
    <x v="1"/>
    <x v="0"/>
  </r>
  <r>
    <s v="S00486"/>
    <s v="P1788"/>
    <s v="Hgardner"/>
    <s v="SpeedX"/>
    <s v="PC"/>
    <s v="East"/>
    <d v="2025-04-01T00:00:00"/>
    <n v="86"/>
    <n v="0"/>
    <s v="None"/>
    <s v="Completed"/>
    <s v="Free"/>
    <n v="17"/>
    <s v="No"/>
    <x v="4"/>
    <x v="0"/>
    <x v="1"/>
    <x v="0"/>
  </r>
  <r>
    <s v="S00484"/>
    <s v="P3747"/>
    <s v="Evanskristen"/>
    <s v="BattleZone"/>
    <s v="PC"/>
    <s v="West"/>
    <d v="2025-04-16T00:00:00"/>
    <n v="139"/>
    <n v="0"/>
    <s v="None"/>
    <s v="Completed"/>
    <s v="Free"/>
    <n v="19"/>
    <s v="No"/>
    <x v="4"/>
    <x v="0"/>
    <x v="1"/>
    <x v="0"/>
  </r>
  <r>
    <s v="S00036"/>
    <s v="P4961"/>
    <s v="Sandyherman"/>
    <s v="Empire Wars"/>
    <s v="Mobile"/>
    <s v="Central"/>
    <d v="2025-04-03T00:00:00"/>
    <n v="86"/>
    <n v="0"/>
    <s v="None"/>
    <s v="Completed"/>
    <s v="Free"/>
    <n v="47"/>
    <s v="No"/>
    <x v="4"/>
    <x v="0"/>
    <x v="1"/>
    <x v="0"/>
  </r>
  <r>
    <s v="S00059"/>
    <s v="P1110"/>
    <s v="Joseph32"/>
    <s v="BattleZone"/>
    <s v="PC"/>
    <s v="East"/>
    <d v="2025-04-24T00:00:00"/>
    <n v="76"/>
    <n v="0"/>
    <s v="None"/>
    <s v="Completed"/>
    <s v="Free"/>
    <n v="41"/>
    <s v="No"/>
    <x v="4"/>
    <x v="0"/>
    <x v="1"/>
    <x v="0"/>
  </r>
  <r>
    <s v="S00060"/>
    <s v="P2205"/>
    <s v="Fstewart"/>
    <s v="Empire Wars"/>
    <s v="PC"/>
    <s v="Central"/>
    <d v="2025-04-20T00:00:00"/>
    <n v="153"/>
    <n v="0"/>
    <s v="None"/>
    <s v="Completed"/>
    <s v="Free"/>
    <n v="2"/>
    <s v="Yes"/>
    <x v="4"/>
    <x v="0"/>
    <x v="1"/>
    <x v="1"/>
  </r>
  <r>
    <s v="S00075"/>
    <s v="P3222"/>
    <s v="Fmayer"/>
    <s v="Empire Wars"/>
    <s v="Console"/>
    <s v="West"/>
    <d v="2025-04-03T00:00:00"/>
    <n v="70"/>
    <n v="0"/>
    <s v="None"/>
    <s v="Completed"/>
    <s v="Free"/>
    <n v="12"/>
    <s v="No"/>
    <x v="4"/>
    <x v="0"/>
    <x v="1"/>
    <x v="0"/>
  </r>
  <r>
    <s v="S00449"/>
    <s v="P5705"/>
    <s v="Hernandezcatherine"/>
    <s v="BattleZone"/>
    <s v="Console"/>
    <s v="North"/>
    <d v="2025-04-11T00:00:00"/>
    <n v="108"/>
    <n v="0"/>
    <s v="None"/>
    <s v="Crashed"/>
    <s v="Free"/>
    <n v="22"/>
    <s v="No"/>
    <x v="4"/>
    <x v="0"/>
    <x v="1"/>
    <x v="0"/>
  </r>
  <r>
    <s v="S00092"/>
    <s v="P2205"/>
    <s v="Smullins"/>
    <s v="BattleZone"/>
    <s v="Console"/>
    <s v="South"/>
    <d v="2025-04-23T00:00:00"/>
    <n v="81"/>
    <n v="0"/>
    <s v="None"/>
    <s v="Crashed"/>
    <s v="Free"/>
    <n v="46"/>
    <s v="No"/>
    <x v="4"/>
    <x v="0"/>
    <x v="1"/>
    <x v="0"/>
  </r>
  <r>
    <s v="S00448"/>
    <s v="P1344"/>
    <s v="Keithunderwood"/>
    <s v="Zombie Rush"/>
    <s v="Console"/>
    <s v="North"/>
    <d v="2025-04-08T00:00:00"/>
    <n v="104"/>
    <n v="9.94"/>
    <s v="Subscriptions"/>
    <s v="Exited Early"/>
    <s v="Paid"/>
    <n v="21"/>
    <s v="No"/>
    <x v="4"/>
    <x v="0"/>
    <x v="0"/>
    <x v="0"/>
  </r>
  <r>
    <s v="S00116"/>
    <s v="P7715"/>
    <s v="Vhart"/>
    <s v="Zombie Rush"/>
    <s v="Console"/>
    <s v="North-East"/>
    <d v="2025-04-02T00:00:00"/>
    <n v="65"/>
    <n v="0"/>
    <s v="None"/>
    <s v="Completed"/>
    <s v="Free"/>
    <n v="8"/>
    <s v="No"/>
    <x v="4"/>
    <x v="0"/>
    <x v="1"/>
    <x v="0"/>
  </r>
  <r>
    <s v="S00134"/>
    <s v="P3200"/>
    <s v="Robert23"/>
    <s v="SpeedX"/>
    <s v="PC"/>
    <s v="North"/>
    <d v="2025-04-01T00:00:00"/>
    <n v="150"/>
    <n v="0"/>
    <s v="None"/>
    <s v="Completed"/>
    <s v="Free"/>
    <n v="47"/>
    <s v="No"/>
    <x v="4"/>
    <x v="0"/>
    <x v="1"/>
    <x v="0"/>
  </r>
  <r>
    <s v="S00435"/>
    <s v="P2996"/>
    <s v="Linda22"/>
    <s v="Zombie Rush"/>
    <s v="Console"/>
    <s v="South"/>
    <d v="2025-04-26T00:00:00"/>
    <n v="101"/>
    <n v="0"/>
    <s v="None"/>
    <s v="Completed"/>
    <s v="Free"/>
    <n v="15"/>
    <s v="No"/>
    <x v="4"/>
    <x v="0"/>
    <x v="1"/>
    <x v="0"/>
  </r>
  <r>
    <s v="S00138"/>
    <s v="P8823"/>
    <s v="Timothy18"/>
    <s v="BattleZone"/>
    <s v="PC"/>
    <s v="North"/>
    <d v="2025-04-27T00:00:00"/>
    <n v="72"/>
    <n v="0"/>
    <s v="None"/>
    <s v="Completed"/>
    <s v="Paid"/>
    <n v="6"/>
    <s v="No"/>
    <x v="4"/>
    <x v="0"/>
    <x v="1"/>
    <x v="0"/>
  </r>
  <r>
    <s v="S00140"/>
    <s v="P4842"/>
    <s v="Deckeramanda"/>
    <s v="SpeedX"/>
    <s v="Console"/>
    <s v="West"/>
    <d v="2025-04-12T00:00:00"/>
    <n v="145"/>
    <n v="0"/>
    <s v="None"/>
    <s v="Completed"/>
    <s v="Paid"/>
    <n v="36"/>
    <s v="No"/>
    <x v="4"/>
    <x v="0"/>
    <x v="1"/>
    <x v="0"/>
  </r>
  <r>
    <s v="S00144"/>
    <s v="P2317"/>
    <s v="Robertohobbs"/>
    <s v="Zombie Rush"/>
    <s v="Console"/>
    <s v="West"/>
    <d v="2025-04-22T00:00:00"/>
    <n v="83"/>
    <n v="0"/>
    <s v="None"/>
    <s v="Completed"/>
    <s v="Free"/>
    <n v="25"/>
    <s v="No"/>
    <x v="4"/>
    <x v="0"/>
    <x v="1"/>
    <x v="0"/>
  </r>
  <r>
    <s v="S00147"/>
    <s v="P2026"/>
    <s v="Manuel15"/>
    <s v="SpeedX"/>
    <s v="PC"/>
    <s v="North"/>
    <d v="2025-04-23T00:00:00"/>
    <n v="136"/>
    <n v="0"/>
    <s v="None"/>
    <s v="Completed"/>
    <s v="Free"/>
    <n v="23"/>
    <s v="No"/>
    <x v="4"/>
    <x v="0"/>
    <x v="1"/>
    <x v="0"/>
  </r>
  <r>
    <s v="S00421"/>
    <s v="P9217"/>
    <s v="Pwright"/>
    <s v="BattleZone"/>
    <s v="Console"/>
    <s v="South"/>
    <d v="2025-04-20T00:00:00"/>
    <n v="97"/>
    <n v="3.6"/>
    <s v="Subscriptions"/>
    <s v="Incomplete"/>
    <s v="Paid"/>
    <n v="14"/>
    <s v="No"/>
    <x v="4"/>
    <x v="0"/>
    <x v="0"/>
    <x v="0"/>
  </r>
  <r>
    <s v="S00161"/>
    <s v="P7830"/>
    <s v="Thomasowens"/>
    <s v="Zombie Rush"/>
    <s v="Console"/>
    <s v="West"/>
    <d v="2025-04-18T00:00:00"/>
    <n v="116"/>
    <n v="17.05"/>
    <s v="Subscriptions"/>
    <s v="Exited Early"/>
    <s v="Paid"/>
    <n v="17"/>
    <s v="No"/>
    <x v="4"/>
    <x v="0"/>
    <x v="0"/>
    <x v="0"/>
  </r>
  <r>
    <s v="S00419"/>
    <s v="P1065"/>
    <s v="Neilmorrison"/>
    <s v="BattleZone"/>
    <s v="Mobile"/>
    <s v="Central"/>
    <d v="2025-04-08T00:00:00"/>
    <n v="180"/>
    <n v="0"/>
    <s v="None"/>
    <s v="Completed"/>
    <s v="Free"/>
    <n v="8"/>
    <s v="Yes"/>
    <x v="4"/>
    <x v="0"/>
    <x v="1"/>
    <x v="1"/>
  </r>
  <r>
    <s v="S00167"/>
    <s v="P4379"/>
    <s v="Walkerdeborah"/>
    <s v="BattleZone"/>
    <s v="Mobile"/>
    <s v="West"/>
    <d v="2025-04-16T00:00:00"/>
    <n v="116"/>
    <n v="47.47"/>
    <s v="Subscriptions"/>
    <s v="Completed"/>
    <s v="Paid"/>
    <n v="1"/>
    <s v="Yes"/>
    <x v="4"/>
    <x v="0"/>
    <x v="0"/>
    <x v="1"/>
  </r>
  <r>
    <s v="S00171"/>
    <s v="P4426"/>
    <s v="Joe22"/>
    <s v="Clash of Realms"/>
    <s v="Console"/>
    <s v="North-East"/>
    <d v="2025-04-09T00:00:00"/>
    <n v="123"/>
    <n v="0"/>
    <s v="None"/>
    <s v="Crashed"/>
    <s v="Paid"/>
    <n v="47"/>
    <s v="No"/>
    <x v="4"/>
    <x v="0"/>
    <x v="1"/>
    <x v="0"/>
  </r>
  <r>
    <s v="S00182"/>
    <s v="P3609"/>
    <s v="Brianlopez"/>
    <s v="Zombie Rush"/>
    <s v="Console"/>
    <s v="North"/>
    <d v="2025-04-01T00:00:00"/>
    <n v="88"/>
    <n v="0"/>
    <s v="None"/>
    <s v="Completed"/>
    <s v="Free"/>
    <n v="39"/>
    <s v="No"/>
    <x v="4"/>
    <x v="0"/>
    <x v="1"/>
    <x v="0"/>
  </r>
  <r>
    <s v="S00399"/>
    <s v="P6788"/>
    <s v="Dylanblack"/>
    <s v="Zombie Rush"/>
    <s v="Console"/>
    <s v="East"/>
    <d v="2025-04-06T00:00:00"/>
    <n v="145"/>
    <n v="0"/>
    <s v="None"/>
    <s v="Completed"/>
    <s v="Free"/>
    <n v="43"/>
    <s v="No"/>
    <x v="4"/>
    <x v="0"/>
    <x v="1"/>
    <x v="0"/>
  </r>
  <r>
    <s v="S00203"/>
    <s v="P5877"/>
    <s v="Jperkins"/>
    <s v="Zombie Rush"/>
    <s v="PC"/>
    <s v="North"/>
    <d v="2025-04-11T00:00:00"/>
    <n v="111"/>
    <n v="0"/>
    <s v="None"/>
    <s v="Completed"/>
    <s v="Free"/>
    <n v="39"/>
    <s v="No"/>
    <x v="4"/>
    <x v="0"/>
    <x v="1"/>
    <x v="0"/>
  </r>
  <r>
    <s v="S00383"/>
    <s v="P8505"/>
    <s v="Derrickbuck"/>
    <s v="SpeedX"/>
    <s v="Console"/>
    <s v="East"/>
    <d v="2025-04-29T00:00:00"/>
    <n v="101"/>
    <n v="0"/>
    <s v="None"/>
    <s v="Incomplete"/>
    <s v="Free"/>
    <n v="41"/>
    <s v="No"/>
    <x v="4"/>
    <x v="0"/>
    <x v="1"/>
    <x v="0"/>
  </r>
  <r>
    <s v="S00377"/>
    <s v="P7247"/>
    <s v="Hhuff"/>
    <s v="BattleZone"/>
    <s v="Console"/>
    <s v="South"/>
    <d v="2025-04-18T00:00:00"/>
    <n v="165"/>
    <n v="21.99"/>
    <s v="Boosters"/>
    <s v="Exited Early"/>
    <s v="Paid"/>
    <n v="45"/>
    <s v="Yes"/>
    <x v="4"/>
    <x v="0"/>
    <x v="0"/>
    <x v="1"/>
  </r>
  <r>
    <s v="S00221"/>
    <s v="P1073"/>
    <s v="Shawna86"/>
    <s v="Clash of Realms"/>
    <s v="PC"/>
    <s v="Central"/>
    <d v="2025-04-28T00:00:00"/>
    <n v="105"/>
    <n v="0"/>
    <s v="None"/>
    <s v="Completed"/>
    <s v="Free"/>
    <n v="38"/>
    <s v="No"/>
    <x v="4"/>
    <x v="0"/>
    <x v="1"/>
    <x v="0"/>
  </r>
  <r>
    <s v="S00223"/>
    <s v="P8292"/>
    <s v="Kellyrichardson"/>
    <s v="SpeedX"/>
    <s v="PC"/>
    <s v="East"/>
    <d v="2025-04-09T00:00:00"/>
    <n v="92"/>
    <n v="0"/>
    <s v="None"/>
    <s v="Completed"/>
    <s v="Free"/>
    <n v="11"/>
    <s v="No"/>
    <x v="4"/>
    <x v="0"/>
    <x v="1"/>
    <x v="0"/>
  </r>
  <r>
    <s v="S00371"/>
    <s v="P6086"/>
    <s v="Parkzachary"/>
    <s v="Zombie Rush"/>
    <s v="Mobile"/>
    <s v="North"/>
    <d v="2025-04-07T00:00:00"/>
    <n v="144"/>
    <n v="29.52"/>
    <s v="Skins"/>
    <s v="Exited Early"/>
    <s v="Paid"/>
    <n v="36"/>
    <s v="No"/>
    <x v="4"/>
    <x v="0"/>
    <x v="0"/>
    <x v="0"/>
  </r>
  <r>
    <s v="S00235"/>
    <s v="P5994"/>
    <s v="Deannanewman"/>
    <s v="BattleZone"/>
    <s v="PC"/>
    <s v="West"/>
    <d v="2025-04-17T00:00:00"/>
    <n v="163"/>
    <n v="0"/>
    <s v="None"/>
    <s v="Completed"/>
    <s v="Free"/>
    <n v="46"/>
    <s v="Yes"/>
    <x v="4"/>
    <x v="0"/>
    <x v="1"/>
    <x v="1"/>
  </r>
  <r>
    <s v="S00368"/>
    <s v="P4682"/>
    <s v="Aryan"/>
    <s v="BattleZone"/>
    <s v="Mobile"/>
    <s v="South"/>
    <d v="2025-04-25T00:00:00"/>
    <n v="161"/>
    <n v="0"/>
    <s v="None"/>
    <s v="Completed"/>
    <s v="Free"/>
    <n v="25"/>
    <s v="Yes"/>
    <x v="4"/>
    <x v="0"/>
    <x v="1"/>
    <x v="1"/>
  </r>
  <r>
    <s v="S00240"/>
    <s v="P9467"/>
    <s v="Fmay"/>
    <s v="SpeedX"/>
    <s v="Console"/>
    <s v="East"/>
    <d v="2025-04-02T00:00:00"/>
    <n v="116"/>
    <n v="0"/>
    <s v="None"/>
    <s v="Incomplete"/>
    <s v="Paid"/>
    <n v="11"/>
    <s v="No"/>
    <x v="4"/>
    <x v="0"/>
    <x v="1"/>
    <x v="0"/>
  </r>
  <r>
    <s v="S00244"/>
    <s v="P8810"/>
    <s v="Tracy64"/>
    <s v="Empire Wars"/>
    <s v="Console"/>
    <s v="North-East"/>
    <d v="2025-04-02T00:00:00"/>
    <n v="175"/>
    <n v="7.47"/>
    <s v="Skins"/>
    <s v="Completed"/>
    <s v="Paid"/>
    <n v="17"/>
    <s v="Yes"/>
    <x v="4"/>
    <x v="0"/>
    <x v="0"/>
    <x v="1"/>
  </r>
  <r>
    <s v="S00365"/>
    <s v="P1888"/>
    <s v="Lynchtina"/>
    <s v="SpeedX"/>
    <s v="Mobile"/>
    <s v="South"/>
    <d v="2025-04-16T00:00:00"/>
    <n v="73"/>
    <n v="0"/>
    <s v="None"/>
    <s v="Incomplete"/>
    <s v="Free"/>
    <n v="32"/>
    <s v="No"/>
    <x v="4"/>
    <x v="0"/>
    <x v="1"/>
    <x v="0"/>
  </r>
  <r>
    <s v="S00248"/>
    <s v="P2659"/>
    <s v="Joshuasmith"/>
    <s v="SpeedX"/>
    <s v="Mobile"/>
    <s v="West"/>
    <d v="2025-04-25T00:00:00"/>
    <n v="91"/>
    <n v="0"/>
    <s v="None"/>
    <s v="Exited Early"/>
    <s v="Free"/>
    <n v="44"/>
    <s v="No"/>
    <x v="4"/>
    <x v="0"/>
    <x v="1"/>
    <x v="0"/>
  </r>
  <r>
    <s v="S00254"/>
    <s v="P5142"/>
    <s v="Georgewarren"/>
    <s v="Clash of Realms"/>
    <s v="PC"/>
    <s v="South"/>
    <d v="2025-04-17T00:00:00"/>
    <n v="116"/>
    <n v="0"/>
    <s v="None"/>
    <s v="Completed"/>
    <s v="Free"/>
    <n v="40"/>
    <s v="No"/>
    <x v="4"/>
    <x v="0"/>
    <x v="1"/>
    <x v="0"/>
  </r>
  <r>
    <s v="S00271"/>
    <s v="P7072"/>
    <s v="Matthew23"/>
    <s v="Zombie Rush"/>
    <s v="Console"/>
    <s v="North"/>
    <d v="2025-04-11T00:00:00"/>
    <n v="166"/>
    <n v="47.72"/>
    <s v="Skins"/>
    <s v="Completed"/>
    <s v="Paid"/>
    <n v="40"/>
    <s v="Yes"/>
    <x v="4"/>
    <x v="0"/>
    <x v="0"/>
    <x v="1"/>
  </r>
  <r>
    <s v="S00275"/>
    <s v="P7472"/>
    <s v="Kcook"/>
    <s v="Empire Wars"/>
    <s v="Mobile"/>
    <s v="Central"/>
    <d v="2025-04-03T00:00:00"/>
    <n v="87"/>
    <n v="0"/>
    <s v="None"/>
    <s v="Completed"/>
    <s v="Free"/>
    <n v="33"/>
    <s v="No"/>
    <x v="4"/>
    <x v="0"/>
    <x v="1"/>
    <x v="0"/>
  </r>
  <r>
    <s v="S00283"/>
    <s v="P7004"/>
    <s v="Monicaharris"/>
    <s v="BattleZone"/>
    <s v="PC"/>
    <s v="West"/>
    <d v="2025-04-15T00:00:00"/>
    <n v="175"/>
    <n v="0"/>
    <s v="None"/>
    <s v="Completed"/>
    <s v="Free"/>
    <n v="1"/>
    <s v="Yes"/>
    <x v="4"/>
    <x v="0"/>
    <x v="1"/>
    <x v="1"/>
  </r>
  <r>
    <s v="S00345"/>
    <s v="P6815"/>
    <s v="Parkerpatricia"/>
    <s v="Clash of Realms"/>
    <s v="Mobile"/>
    <s v="North-East"/>
    <d v="2025-04-19T00:00:00"/>
    <n v="91"/>
    <n v="13.08"/>
    <s v="Skins"/>
    <s v="Completed"/>
    <s v="Paid"/>
    <n v="17"/>
    <s v="No"/>
    <x v="4"/>
    <x v="0"/>
    <x v="0"/>
    <x v="0"/>
  </r>
  <r>
    <s v="S00291"/>
    <s v="P6223"/>
    <s v="Raymondjenna"/>
    <s v="SpeedX"/>
    <s v="PC"/>
    <s v="North-East"/>
    <d v="2025-04-24T00:00:00"/>
    <n v="66"/>
    <n v="0"/>
    <s v="None"/>
    <s v="Exited Early"/>
    <s v="Free"/>
    <n v="4"/>
    <s v="No"/>
    <x v="4"/>
    <x v="0"/>
    <x v="1"/>
    <x v="0"/>
  </r>
  <r>
    <s v="S00338"/>
    <s v="P9449"/>
    <s v="Douglasluke"/>
    <s v="SpeedX"/>
    <s v="PC"/>
    <s v="South"/>
    <d v="2025-04-12T00:00:00"/>
    <n v="110"/>
    <n v="0"/>
    <s v="None"/>
    <s v="Completed"/>
    <s v="Free"/>
    <n v="40"/>
    <s v="No"/>
    <x v="4"/>
    <x v="0"/>
    <x v="1"/>
    <x v="0"/>
  </r>
  <r>
    <s v="S00302"/>
    <s v="P5078"/>
    <s v="Elizabeth99"/>
    <s v="Clash of Realms"/>
    <s v="Mobile"/>
    <s v="North"/>
    <d v="2025-04-01T00:00:00"/>
    <n v="93"/>
    <n v="0"/>
    <s v="None"/>
    <s v="Completed"/>
    <s v="Free"/>
    <n v="47"/>
    <s v="No"/>
    <x v="4"/>
    <x v="0"/>
    <x v="1"/>
    <x v="0"/>
  </r>
  <r>
    <s v="S00307"/>
    <s v="P9068"/>
    <s v="Nthompson"/>
    <s v="BattleZone"/>
    <s v="Mobile"/>
    <s v="North-East"/>
    <d v="2025-04-12T00:00:00"/>
    <n v="109"/>
    <n v="0"/>
    <s v="None"/>
    <s v="Completed"/>
    <s v="Free"/>
    <n v="40"/>
    <s v="No"/>
    <x v="4"/>
    <x v="0"/>
    <x v="1"/>
    <x v="0"/>
  </r>
  <r>
    <s v="S00315"/>
    <s v="P6685"/>
    <s v="Coreyperez"/>
    <s v="BattleZone"/>
    <s v="Console"/>
    <s v="North"/>
    <d v="2025-04-29T00:00:00"/>
    <n v="140"/>
    <n v="0"/>
    <s v="None"/>
    <s v="Completed"/>
    <s v="Free"/>
    <n v="1"/>
    <s v="No"/>
    <x v="4"/>
    <x v="0"/>
    <x v="1"/>
    <x v="0"/>
  </r>
  <r>
    <s v="S00005"/>
    <s v="P7925"/>
    <s v="Ballarddouglas"/>
    <s v="Zombie Rush"/>
    <s v="Mobile"/>
    <s v="North"/>
    <d v="2025-05-21T00:00:00"/>
    <n v="109"/>
    <n v="5.48"/>
    <s v="Boosters"/>
    <s v="Crashed"/>
    <s v="Paid"/>
    <n v="5"/>
    <s v="No"/>
    <x v="5"/>
    <x v="0"/>
    <x v="0"/>
    <x v="0"/>
  </r>
  <r>
    <s v="S00010"/>
    <s v="P4220"/>
    <s v="Ryanmarshall"/>
    <s v="Zombie Rush"/>
    <s v="PC"/>
    <s v="North"/>
    <d v="2025-05-14T00:00:00"/>
    <n v="138"/>
    <n v="0"/>
    <s v="None"/>
    <s v="Exited Early"/>
    <s v="Free"/>
    <n v="48"/>
    <s v="No"/>
    <x v="5"/>
    <x v="0"/>
    <x v="1"/>
    <x v="0"/>
  </r>
  <r>
    <s v="S00491"/>
    <s v="P8692"/>
    <s v="Krogers"/>
    <s v="Clash of Realms"/>
    <s v="PC"/>
    <s v="South"/>
    <d v="2025-05-20T00:00:00"/>
    <n v="179"/>
    <n v="0"/>
    <s v="None"/>
    <s v="Completed"/>
    <s v="Free"/>
    <n v="10"/>
    <s v="Yes"/>
    <x v="5"/>
    <x v="0"/>
    <x v="1"/>
    <x v="1"/>
  </r>
  <r>
    <s v="S00014"/>
    <s v="P6935"/>
    <s v="Yjohnson"/>
    <s v="BattleZone"/>
    <s v="PC"/>
    <s v="East"/>
    <d v="2025-05-17T00:00:00"/>
    <n v="78"/>
    <n v="0"/>
    <s v="None"/>
    <s v="Completed"/>
    <s v="Free"/>
    <n v="35"/>
    <s v="No"/>
    <x v="5"/>
    <x v="0"/>
    <x v="1"/>
    <x v="0"/>
  </r>
  <r>
    <s v="S00490"/>
    <s v="P9973"/>
    <s v="Millerdonald"/>
    <s v="Clash of Realms"/>
    <s v="Console"/>
    <s v="West"/>
    <d v="2025-05-16T00:00:00"/>
    <n v="146"/>
    <n v="0"/>
    <s v="None"/>
    <s v="Crashed"/>
    <s v="Free"/>
    <n v="2"/>
    <s v="No"/>
    <x v="5"/>
    <x v="0"/>
    <x v="1"/>
    <x v="0"/>
  </r>
  <r>
    <s v="S00021"/>
    <s v="P1758"/>
    <s v="Lawsonderrick"/>
    <s v="BattleZone"/>
    <s v="PC"/>
    <s v="North-East"/>
    <d v="2025-05-31T00:00:00"/>
    <n v="168"/>
    <n v="0"/>
    <s v="None"/>
    <s v="Completed"/>
    <s v="Free"/>
    <n v="33"/>
    <s v="Yes"/>
    <x v="5"/>
    <x v="0"/>
    <x v="1"/>
    <x v="1"/>
  </r>
  <r>
    <s v="S00022"/>
    <s v="P5785"/>
    <s v="Icrawford"/>
    <s v="Clash of Realms"/>
    <s v="Console"/>
    <s v="North"/>
    <d v="2025-05-13T00:00:00"/>
    <n v="86"/>
    <n v="0"/>
    <s v="None"/>
    <s v="Completed"/>
    <s v="Free"/>
    <n v="34"/>
    <s v="No"/>
    <x v="5"/>
    <x v="0"/>
    <x v="1"/>
    <x v="0"/>
  </r>
  <r>
    <s v="S00027"/>
    <s v="P2609"/>
    <s v="Owensoscar"/>
    <s v="Empire Wars"/>
    <s v="Mobile"/>
    <s v="North-East"/>
    <d v="2025-05-02T00:00:00"/>
    <n v="173"/>
    <n v="0"/>
    <s v="None"/>
    <s v="Completed"/>
    <s v="Free"/>
    <n v="8"/>
    <s v="Yes"/>
    <x v="5"/>
    <x v="0"/>
    <x v="1"/>
    <x v="1"/>
  </r>
  <r>
    <s v="S00482"/>
    <s v="P6129"/>
    <s v="Donna27"/>
    <s v="Zombie Rush"/>
    <s v="Mobile"/>
    <s v="North-East"/>
    <d v="2025-05-27T00:00:00"/>
    <n v="167"/>
    <n v="0"/>
    <s v="None"/>
    <s v="Completed"/>
    <s v="Free"/>
    <n v="28"/>
    <s v="Yes"/>
    <x v="5"/>
    <x v="0"/>
    <x v="1"/>
    <x v="1"/>
  </r>
  <r>
    <s v="S00038"/>
    <s v="P7945"/>
    <s v="Richardhooper"/>
    <s v="BattleZone"/>
    <s v="Console"/>
    <s v="Central"/>
    <d v="2025-05-13T00:00:00"/>
    <n v="121"/>
    <n v="0"/>
    <s v="None"/>
    <s v="Completed"/>
    <s v="Free"/>
    <n v="14"/>
    <s v="No"/>
    <x v="5"/>
    <x v="0"/>
    <x v="1"/>
    <x v="0"/>
  </r>
  <r>
    <s v="S00479"/>
    <s v="P5699"/>
    <s v="Cathy10"/>
    <s v="SpeedX"/>
    <s v="Console"/>
    <s v="Central"/>
    <d v="2025-05-23T00:00:00"/>
    <n v="103"/>
    <n v="0"/>
    <s v="None"/>
    <s v="Completed"/>
    <s v="Free"/>
    <n v="11"/>
    <s v="No"/>
    <x v="5"/>
    <x v="0"/>
    <x v="1"/>
    <x v="0"/>
  </r>
  <r>
    <s v="S00478"/>
    <s v="P3378"/>
    <s v="Adamsbarbara"/>
    <s v="SpeedX"/>
    <s v="Console"/>
    <s v="South"/>
    <d v="2025-05-18T00:00:00"/>
    <n v="93"/>
    <n v="0"/>
    <s v="None"/>
    <s v="Completed"/>
    <s v="Free"/>
    <n v="26"/>
    <s v="No"/>
    <x v="5"/>
    <x v="0"/>
    <x v="1"/>
    <x v="0"/>
  </r>
  <r>
    <s v="S00470"/>
    <s v="P9769"/>
    <s v="Marcus01"/>
    <s v="Empire Wars"/>
    <s v="Console"/>
    <s v="East"/>
    <d v="2025-05-11T00:00:00"/>
    <n v="73"/>
    <n v="0"/>
    <s v="None"/>
    <s v="Completed"/>
    <s v="Free"/>
    <n v="46"/>
    <s v="No"/>
    <x v="5"/>
    <x v="0"/>
    <x v="1"/>
    <x v="0"/>
  </r>
  <r>
    <s v="S00468"/>
    <s v="P9747"/>
    <s v="Charles59"/>
    <s v="Empire Wars"/>
    <s v="Mobile"/>
    <s v="West"/>
    <d v="2025-05-22T00:00:00"/>
    <n v="164"/>
    <n v="0"/>
    <s v="None"/>
    <s v="Incomplete"/>
    <s v="Free"/>
    <n v="40"/>
    <s v="Yes"/>
    <x v="5"/>
    <x v="0"/>
    <x v="1"/>
    <x v="1"/>
  </r>
  <r>
    <s v="S00056"/>
    <s v="P1285"/>
    <s v="Amylong"/>
    <s v="BattleZone"/>
    <s v="Mobile"/>
    <s v="North"/>
    <d v="2025-05-11T00:00:00"/>
    <n v="117"/>
    <n v="0"/>
    <s v="None"/>
    <s v="Exited Early"/>
    <s v="Free"/>
    <n v="11"/>
    <s v="No"/>
    <x v="5"/>
    <x v="0"/>
    <x v="1"/>
    <x v="0"/>
  </r>
  <r>
    <s v="S00057"/>
    <s v="P7588"/>
    <s v="Usnyder"/>
    <s v="BattleZone"/>
    <s v="PC"/>
    <s v="North"/>
    <d v="2025-05-04T00:00:00"/>
    <n v="139"/>
    <n v="0"/>
    <s v="None"/>
    <s v="Completed"/>
    <s v="Free"/>
    <n v="41"/>
    <s v="No"/>
    <x v="5"/>
    <x v="0"/>
    <x v="1"/>
    <x v="0"/>
  </r>
  <r>
    <s v="S00061"/>
    <s v="P7473"/>
    <s v="Sholmes"/>
    <s v="SpeedX"/>
    <s v="Console"/>
    <s v="North"/>
    <d v="2025-05-27T00:00:00"/>
    <n v="156"/>
    <n v="0"/>
    <s v="None"/>
    <s v="Completed"/>
    <s v="Paid"/>
    <n v="50"/>
    <s v="Yes"/>
    <x v="5"/>
    <x v="0"/>
    <x v="1"/>
    <x v="1"/>
  </r>
  <r>
    <s v="S00464"/>
    <s v="P2743"/>
    <s v="Jennifersmith"/>
    <s v="Empire Wars"/>
    <s v="Mobile"/>
    <s v="West"/>
    <d v="2025-05-05T00:00:00"/>
    <n v="63"/>
    <n v="0"/>
    <s v="None"/>
    <s v="Completed"/>
    <s v="Paid"/>
    <n v="43"/>
    <s v="No"/>
    <x v="5"/>
    <x v="0"/>
    <x v="1"/>
    <x v="0"/>
  </r>
  <r>
    <s v="S00073"/>
    <s v="P8666"/>
    <s v="Craiggail"/>
    <s v="SpeedX"/>
    <s v="Mobile"/>
    <s v="North"/>
    <d v="2025-05-05T00:00:00"/>
    <n v="79"/>
    <n v="0"/>
    <s v="None"/>
    <s v="Completed"/>
    <s v="Free"/>
    <n v="49"/>
    <s v="No"/>
    <x v="5"/>
    <x v="0"/>
    <x v="1"/>
    <x v="0"/>
  </r>
  <r>
    <s v="S00080"/>
    <s v="P2463"/>
    <s v="Bentonashley"/>
    <s v="SpeedX"/>
    <s v="Mobile"/>
    <s v="South"/>
    <d v="2025-05-02T00:00:00"/>
    <n v="175"/>
    <n v="27.19"/>
    <s v="Skins"/>
    <s v="Completed"/>
    <s v="Paid"/>
    <n v="1"/>
    <s v="Yes"/>
    <x v="5"/>
    <x v="0"/>
    <x v="0"/>
    <x v="1"/>
  </r>
  <r>
    <s v="S00095"/>
    <s v="P5248"/>
    <s v="Xreed"/>
    <s v="Clash of Realms"/>
    <s v="PC"/>
    <s v="South"/>
    <d v="2025-05-02T00:00:00"/>
    <n v="123"/>
    <n v="26.85"/>
    <s v="Battle Pass"/>
    <s v="Crashed"/>
    <s v="Paid"/>
    <n v="32"/>
    <s v="No"/>
    <x v="5"/>
    <x v="0"/>
    <x v="0"/>
    <x v="0"/>
  </r>
  <r>
    <s v="S00100"/>
    <s v="P5367"/>
    <s v="Jeffreyluna"/>
    <s v="Empire Wars"/>
    <s v="Console"/>
    <s v="East"/>
    <d v="2025-05-10T00:00:00"/>
    <n v="107"/>
    <n v="0"/>
    <s v="None"/>
    <s v="Incomplete"/>
    <s v="Free"/>
    <n v="13"/>
    <s v="No"/>
    <x v="5"/>
    <x v="0"/>
    <x v="1"/>
    <x v="0"/>
  </r>
  <r>
    <s v="S00104"/>
    <s v="P9492"/>
    <s v="Ggriffith"/>
    <s v="Empire Wars"/>
    <s v="Console"/>
    <s v="West"/>
    <d v="2025-05-18T00:00:00"/>
    <n v="90"/>
    <n v="0"/>
    <s v="None"/>
    <s v="Completed"/>
    <s v="Free"/>
    <n v="3"/>
    <s v="No"/>
    <x v="5"/>
    <x v="0"/>
    <x v="1"/>
    <x v="0"/>
  </r>
  <r>
    <s v="S00105"/>
    <s v="P2590"/>
    <s v="Chrisperkins"/>
    <s v="Clash of Realms"/>
    <s v="Console"/>
    <s v="Central"/>
    <d v="2025-05-22T00:00:00"/>
    <n v="64"/>
    <n v="0"/>
    <s v="None"/>
    <s v="Completed"/>
    <s v="Free"/>
    <n v="50"/>
    <s v="No"/>
    <x v="5"/>
    <x v="0"/>
    <x v="1"/>
    <x v="0"/>
  </r>
  <r>
    <s v="S00446"/>
    <s v="P7453"/>
    <s v="Davidhunt"/>
    <s v="BattleZone"/>
    <s v="Console"/>
    <s v="West"/>
    <d v="2025-05-10T00:00:00"/>
    <n v="114"/>
    <n v="0"/>
    <s v="None"/>
    <s v="Incomplete"/>
    <s v="Free"/>
    <n v="22"/>
    <s v="No"/>
    <x v="5"/>
    <x v="0"/>
    <x v="1"/>
    <x v="0"/>
  </r>
  <r>
    <s v="S00110"/>
    <s v="P9730"/>
    <s v="Jennifer33"/>
    <s v="BattleZone"/>
    <s v="PC"/>
    <s v="North"/>
    <d v="2025-05-21T00:00:00"/>
    <n v="164"/>
    <n v="0"/>
    <s v="None"/>
    <s v="Crashed"/>
    <s v="Paid"/>
    <n v="39"/>
    <s v="Yes"/>
    <x v="5"/>
    <x v="0"/>
    <x v="1"/>
    <x v="1"/>
  </r>
  <r>
    <s v="S00112"/>
    <s v="P3011"/>
    <s v="Keithmaddox"/>
    <s v="BattleZone"/>
    <s v="Mobile"/>
    <s v="Central"/>
    <d v="2025-05-25T00:00:00"/>
    <n v="172"/>
    <n v="0"/>
    <s v="None"/>
    <s v="Completed"/>
    <s v="Free"/>
    <n v="50"/>
    <s v="Yes"/>
    <x v="5"/>
    <x v="0"/>
    <x v="1"/>
    <x v="1"/>
  </r>
  <r>
    <s v="S00442"/>
    <s v="P9949"/>
    <s v="Brenda52"/>
    <s v="BattleZone"/>
    <s v="Console"/>
    <s v="North-East"/>
    <d v="2025-05-16T00:00:00"/>
    <n v="166"/>
    <n v="0"/>
    <s v="None"/>
    <s v="Completed"/>
    <s v="Free"/>
    <n v="27"/>
    <s v="Yes"/>
    <x v="5"/>
    <x v="0"/>
    <x v="1"/>
    <x v="1"/>
  </r>
  <r>
    <s v="S00118"/>
    <s v="P8621"/>
    <s v="Davisamy"/>
    <s v="Empire Wars"/>
    <s v="Mobile"/>
    <s v="North-East"/>
    <d v="2025-05-14T00:00:00"/>
    <n v="98"/>
    <n v="0"/>
    <s v="None"/>
    <s v="Crashed"/>
    <s v="Free"/>
    <n v="7"/>
    <s v="No"/>
    <x v="5"/>
    <x v="0"/>
    <x v="1"/>
    <x v="0"/>
  </r>
  <r>
    <s v="S00119"/>
    <s v="P4118"/>
    <s v="Dorseyemily"/>
    <s v="BattleZone"/>
    <s v="Console"/>
    <s v="North"/>
    <d v="2025-05-04T00:00:00"/>
    <n v="63"/>
    <n v="0"/>
    <s v="None"/>
    <s v="Completed"/>
    <s v="Free"/>
    <n v="13"/>
    <s v="No"/>
    <x v="5"/>
    <x v="0"/>
    <x v="1"/>
    <x v="0"/>
  </r>
  <r>
    <s v="S00438"/>
    <s v="P1604"/>
    <s v="Pweaver"/>
    <s v="Clash of Realms"/>
    <s v="Console"/>
    <s v="North-East"/>
    <d v="2025-05-20T00:00:00"/>
    <n v="147"/>
    <n v="32.049999999999997"/>
    <s v="Subscriptions"/>
    <s v="Incomplete"/>
    <s v="Paid"/>
    <n v="11"/>
    <s v="No"/>
    <x v="5"/>
    <x v="0"/>
    <x v="0"/>
    <x v="0"/>
  </r>
  <r>
    <s v="S00131"/>
    <s v="P6617"/>
    <s v="Figueroadoris"/>
    <s v="Clash of Realms"/>
    <s v="Mobile"/>
    <s v="South"/>
    <d v="2025-05-01T00:00:00"/>
    <n v="116"/>
    <n v="0"/>
    <s v="None"/>
    <s v="Crashed"/>
    <s v="Free"/>
    <n v="30"/>
    <s v="No"/>
    <x v="5"/>
    <x v="0"/>
    <x v="1"/>
    <x v="0"/>
  </r>
  <r>
    <s v="S00137"/>
    <s v="P4039"/>
    <s v="Alanguerrero"/>
    <s v="SpeedX"/>
    <s v="PC"/>
    <s v="Central"/>
    <d v="2025-05-17T00:00:00"/>
    <n v="115"/>
    <n v="0"/>
    <s v="None"/>
    <s v="Crashed"/>
    <s v="Free"/>
    <n v="42"/>
    <s v="No"/>
    <x v="5"/>
    <x v="0"/>
    <x v="1"/>
    <x v="0"/>
  </r>
  <r>
    <s v="S00155"/>
    <s v="P2328"/>
    <s v="Byrdevelyn"/>
    <s v="Zombie Rush"/>
    <s v="Mobile"/>
    <s v="North-East"/>
    <d v="2025-05-15T00:00:00"/>
    <n v="171"/>
    <n v="18.03"/>
    <s v="Skins"/>
    <s v="Completed"/>
    <s v="Paid"/>
    <n v="43"/>
    <s v="Yes"/>
    <x v="5"/>
    <x v="0"/>
    <x v="0"/>
    <x v="1"/>
  </r>
  <r>
    <s v="S00164"/>
    <s v="P4355"/>
    <s v="Victoriastone"/>
    <s v="BattleZone"/>
    <s v="PC"/>
    <s v="North-East"/>
    <d v="2025-05-05T00:00:00"/>
    <n v="94"/>
    <n v="0"/>
    <s v="None"/>
    <s v="Exited Early"/>
    <s v="Free"/>
    <n v="23"/>
    <s v="No"/>
    <x v="5"/>
    <x v="0"/>
    <x v="1"/>
    <x v="0"/>
  </r>
  <r>
    <s v="S00166"/>
    <s v="P9011"/>
    <s v="Robertroberts"/>
    <s v="BattleZone"/>
    <s v="Console"/>
    <s v="East"/>
    <d v="2025-05-17T00:00:00"/>
    <n v="153"/>
    <n v="0"/>
    <s v="None"/>
    <s v="Completed"/>
    <s v="Free"/>
    <n v="45"/>
    <s v="Yes"/>
    <x v="5"/>
    <x v="0"/>
    <x v="1"/>
    <x v="1"/>
  </r>
  <r>
    <s v="S00415"/>
    <s v="P6369"/>
    <s v="Kingtroy"/>
    <s v="Clash of Realms"/>
    <s v="Console"/>
    <s v="West"/>
    <d v="2025-05-03T00:00:00"/>
    <n v="95"/>
    <n v="35.92"/>
    <s v="Skins"/>
    <s v="Exited Early"/>
    <s v="Paid"/>
    <n v="6"/>
    <s v="No"/>
    <x v="5"/>
    <x v="0"/>
    <x v="0"/>
    <x v="0"/>
  </r>
  <r>
    <s v="S00177"/>
    <s v="P4485"/>
    <s v="Iyoung"/>
    <s v="Clash of Realms"/>
    <s v="Mobile"/>
    <s v="East"/>
    <d v="2025-05-29T00:00:00"/>
    <n v="111"/>
    <n v="0"/>
    <s v="None"/>
    <s v="Completed"/>
    <s v="Free"/>
    <n v="26"/>
    <s v="No"/>
    <x v="5"/>
    <x v="0"/>
    <x v="1"/>
    <x v="0"/>
  </r>
  <r>
    <s v="S00179"/>
    <s v="P3013"/>
    <s v="Smayo"/>
    <s v="Empire Wars"/>
    <s v="Mobile"/>
    <s v="West"/>
    <d v="2025-05-24T00:00:00"/>
    <n v="84"/>
    <n v="0"/>
    <s v="None"/>
    <s v="Completed"/>
    <s v="Free"/>
    <n v="36"/>
    <s v="No"/>
    <x v="5"/>
    <x v="0"/>
    <x v="1"/>
    <x v="0"/>
  </r>
  <r>
    <s v="S00181"/>
    <s v="P2490"/>
    <s v="Bakerjohn"/>
    <s v="Empire Wars"/>
    <s v="PC"/>
    <s v="North"/>
    <d v="2025-05-22T00:00:00"/>
    <n v="61"/>
    <n v="23.71"/>
    <s v="Battle Pass"/>
    <s v="Completed"/>
    <s v="Paid"/>
    <n v="37"/>
    <s v="No"/>
    <x v="5"/>
    <x v="0"/>
    <x v="0"/>
    <x v="0"/>
  </r>
  <r>
    <s v="S00401"/>
    <s v="P3613"/>
    <s v="Sandraclark"/>
    <s v="SpeedX"/>
    <s v="Mobile"/>
    <s v="North"/>
    <d v="2025-05-26T00:00:00"/>
    <n v="105"/>
    <n v="0"/>
    <s v="None"/>
    <s v="Completed"/>
    <s v="Free"/>
    <n v="24"/>
    <s v="No"/>
    <x v="5"/>
    <x v="0"/>
    <x v="1"/>
    <x v="0"/>
  </r>
  <r>
    <s v="S00190"/>
    <s v="P5227"/>
    <s v="Snguyen"/>
    <s v="BattleZone"/>
    <s v="Console"/>
    <s v="West"/>
    <d v="2025-05-20T00:00:00"/>
    <n v="153"/>
    <n v="0"/>
    <s v="None"/>
    <s v="Completed"/>
    <s v="Free"/>
    <n v="1"/>
    <s v="Yes"/>
    <x v="5"/>
    <x v="0"/>
    <x v="1"/>
    <x v="1"/>
  </r>
  <r>
    <s v="S00397"/>
    <s v="P9321"/>
    <s v="Angelicawillis"/>
    <s v="BattleZone"/>
    <s v="Mobile"/>
    <s v="North"/>
    <d v="2025-05-07T00:00:00"/>
    <n v="75"/>
    <n v="0"/>
    <s v="None"/>
    <s v="Completed"/>
    <s v="Free"/>
    <n v="13"/>
    <s v="No"/>
    <x v="5"/>
    <x v="0"/>
    <x v="1"/>
    <x v="0"/>
  </r>
  <r>
    <s v="S00197"/>
    <s v="P8044"/>
    <s v="Henryrosales"/>
    <s v="Zombie Rush"/>
    <s v="Mobile"/>
    <s v="North"/>
    <d v="2025-05-11T00:00:00"/>
    <n v="138"/>
    <n v="0"/>
    <s v="None"/>
    <s v="Completed"/>
    <s v="Free"/>
    <n v="47"/>
    <s v="No"/>
    <x v="5"/>
    <x v="0"/>
    <x v="1"/>
    <x v="0"/>
  </r>
  <r>
    <s v="S00392"/>
    <s v="P2684"/>
    <s v="Bellraymond"/>
    <s v="Zombie Rush"/>
    <s v="Mobile"/>
    <s v="Central"/>
    <d v="2025-05-31T00:00:00"/>
    <n v="143"/>
    <n v="0"/>
    <s v="None"/>
    <s v="Incomplete"/>
    <s v="Free"/>
    <n v="17"/>
    <s v="No"/>
    <x v="5"/>
    <x v="0"/>
    <x v="1"/>
    <x v="0"/>
  </r>
  <r>
    <s v="S00199"/>
    <s v="P9860"/>
    <s v="Andrewbrown"/>
    <s v="SpeedX"/>
    <s v="Console"/>
    <s v="West"/>
    <d v="2025-05-31T00:00:00"/>
    <n v="97"/>
    <n v="0"/>
    <s v="None"/>
    <s v="Completed"/>
    <s v="Free"/>
    <n v="5"/>
    <s v="No"/>
    <x v="5"/>
    <x v="0"/>
    <x v="1"/>
    <x v="0"/>
  </r>
  <r>
    <s v="S00390"/>
    <s v="P9103"/>
    <s v="Lance41"/>
    <s v="Zombie Rush"/>
    <s v="Console"/>
    <s v="West"/>
    <d v="2025-05-06T00:00:00"/>
    <n v="71"/>
    <n v="0"/>
    <s v="None"/>
    <s v="Completed"/>
    <s v="Free"/>
    <n v="46"/>
    <s v="No"/>
    <x v="5"/>
    <x v="0"/>
    <x v="1"/>
    <x v="0"/>
  </r>
  <r>
    <s v="S00389"/>
    <s v="P4758"/>
    <s v="Howardsamantha"/>
    <s v="Empire Wars"/>
    <s v="PC"/>
    <s v="North-East"/>
    <d v="2025-05-26T00:00:00"/>
    <n v="76"/>
    <n v="37.020000000000003"/>
    <s v="Battle Pass"/>
    <s v="Completed"/>
    <s v="Paid"/>
    <n v="4"/>
    <s v="No"/>
    <x v="5"/>
    <x v="0"/>
    <x v="0"/>
    <x v="0"/>
  </r>
  <r>
    <s v="S00206"/>
    <s v="P3345"/>
    <s v="Wjohnson"/>
    <s v="Empire Wars"/>
    <s v="Console"/>
    <s v="Central"/>
    <d v="2025-05-25T00:00:00"/>
    <n v="98"/>
    <n v="0"/>
    <s v="None"/>
    <s v="Completed"/>
    <s v="Paid"/>
    <n v="30"/>
    <s v="No"/>
    <x v="5"/>
    <x v="0"/>
    <x v="1"/>
    <x v="0"/>
  </r>
  <r>
    <s v="S00207"/>
    <s v="P1709"/>
    <s v="Darren53"/>
    <s v="Empire Wars"/>
    <s v="Console"/>
    <s v="West"/>
    <d v="2025-05-14T00:00:00"/>
    <n v="85"/>
    <n v="0"/>
    <s v="None"/>
    <s v="Completed"/>
    <s v="Free"/>
    <n v="4"/>
    <s v="No"/>
    <x v="5"/>
    <x v="0"/>
    <x v="1"/>
    <x v="0"/>
  </r>
  <r>
    <s v="S00208"/>
    <s v="P3727"/>
    <s v="Nathanielchavez"/>
    <s v="Empire Wars"/>
    <s v="Console"/>
    <s v="North"/>
    <d v="2025-05-13T00:00:00"/>
    <n v="135"/>
    <n v="0"/>
    <s v="None"/>
    <s v="Completed"/>
    <s v="Paid"/>
    <n v="42"/>
    <s v="No"/>
    <x v="5"/>
    <x v="0"/>
    <x v="1"/>
    <x v="0"/>
  </r>
  <r>
    <s v="S00378"/>
    <s v="P2591"/>
    <s v="Caitlingonzales"/>
    <s v="BattleZone"/>
    <s v="Console"/>
    <s v="South"/>
    <d v="2025-05-11T00:00:00"/>
    <n v="109"/>
    <n v="39.869999999999997"/>
    <s v="Boosters"/>
    <s v="Completed"/>
    <s v="Paid"/>
    <n v="13"/>
    <s v="No"/>
    <x v="5"/>
    <x v="0"/>
    <x v="0"/>
    <x v="0"/>
  </r>
  <r>
    <s v="S00375"/>
    <s v="P5838"/>
    <s v="Christopher10"/>
    <s v="Zombie Rush"/>
    <s v="Console"/>
    <s v="East"/>
    <d v="2025-05-09T00:00:00"/>
    <n v="79"/>
    <n v="20.5"/>
    <s v="Boosters"/>
    <s v="Completed"/>
    <s v="Paid"/>
    <n v="5"/>
    <s v="No"/>
    <x v="5"/>
    <x v="0"/>
    <x v="0"/>
    <x v="0"/>
  </r>
  <r>
    <s v="S00230"/>
    <s v="P7236"/>
    <s v="Zhopkins"/>
    <s v="SpeedX"/>
    <s v="PC"/>
    <s v="Central"/>
    <d v="2025-05-18T00:00:00"/>
    <n v="98"/>
    <n v="27.66"/>
    <s v="Boosters"/>
    <s v="Completed"/>
    <s v="Paid"/>
    <n v="27"/>
    <s v="No"/>
    <x v="5"/>
    <x v="0"/>
    <x v="0"/>
    <x v="0"/>
  </r>
  <r>
    <s v="S00232"/>
    <s v="P8348"/>
    <s v="Pottsdavid"/>
    <s v="Zombie Rush"/>
    <s v="Console"/>
    <s v="West"/>
    <d v="2025-05-09T00:00:00"/>
    <n v="146"/>
    <n v="43.02"/>
    <s v="Skins"/>
    <s v="Completed"/>
    <s v="Paid"/>
    <n v="24"/>
    <s v="Yes"/>
    <x v="5"/>
    <x v="0"/>
    <x v="0"/>
    <x v="1"/>
  </r>
  <r>
    <s v="S00243"/>
    <s v="P5909"/>
    <s v="Mercedesyoung"/>
    <s v="BattleZone"/>
    <s v="Mobile"/>
    <s v="North"/>
    <d v="2025-05-26T00:00:00"/>
    <n v="144"/>
    <n v="0"/>
    <s v="None"/>
    <s v="Exited Early"/>
    <s v="Free"/>
    <n v="18"/>
    <s v="No"/>
    <x v="5"/>
    <x v="0"/>
    <x v="1"/>
    <x v="0"/>
  </r>
  <r>
    <s v="S00360"/>
    <s v="P9731"/>
    <s v="Popelance"/>
    <s v="SpeedX"/>
    <s v="Console"/>
    <s v="South"/>
    <d v="2025-05-06T00:00:00"/>
    <n v="63"/>
    <n v="0"/>
    <s v="None"/>
    <s v="Completed"/>
    <s v="Free"/>
    <n v="15"/>
    <s v="No"/>
    <x v="5"/>
    <x v="0"/>
    <x v="1"/>
    <x v="0"/>
  </r>
  <r>
    <s v="S00358"/>
    <s v="P1901"/>
    <s v="Leestewart"/>
    <s v="Empire Wars"/>
    <s v="PC"/>
    <s v="South"/>
    <d v="2025-05-24T00:00:00"/>
    <n v="71"/>
    <n v="0"/>
    <s v="None"/>
    <s v="Completed"/>
    <s v="Paid"/>
    <n v="5"/>
    <s v="No"/>
    <x v="5"/>
    <x v="0"/>
    <x v="1"/>
    <x v="0"/>
  </r>
  <r>
    <s v="S00263"/>
    <s v="P2082"/>
    <s v="Iadkins"/>
    <s v="Zombie Rush"/>
    <s v="Console"/>
    <s v="North"/>
    <d v="2025-05-27T00:00:00"/>
    <n v="176"/>
    <n v="44.39"/>
    <s v="Battle Pass"/>
    <s v="Completed"/>
    <s v="Paid"/>
    <n v="18"/>
    <s v="Yes"/>
    <x v="5"/>
    <x v="0"/>
    <x v="0"/>
    <x v="1"/>
  </r>
  <r>
    <s v="S00356"/>
    <s v="P9101"/>
    <s v="Hardychristopher"/>
    <s v="BattleZone"/>
    <s v="Mobile"/>
    <s v="Central"/>
    <d v="2025-05-21T00:00:00"/>
    <n v="104"/>
    <n v="0"/>
    <s v="None"/>
    <s v="Completed"/>
    <s v="Free"/>
    <n v="14"/>
    <s v="No"/>
    <x v="5"/>
    <x v="0"/>
    <x v="1"/>
    <x v="0"/>
  </r>
  <r>
    <s v="S00269"/>
    <s v="P3615"/>
    <s v="Tamarafowler"/>
    <s v="Zombie Rush"/>
    <s v="Mobile"/>
    <s v="East"/>
    <d v="2025-05-17T00:00:00"/>
    <n v="122"/>
    <n v="0"/>
    <s v="None"/>
    <s v="Completed"/>
    <s v="Free"/>
    <n v="28"/>
    <s v="No"/>
    <x v="5"/>
    <x v="0"/>
    <x v="1"/>
    <x v="0"/>
  </r>
  <r>
    <s v="S00349"/>
    <s v="P9419"/>
    <s v="Angelaramsey"/>
    <s v="BattleZone"/>
    <s v="Console"/>
    <s v="South"/>
    <d v="2025-05-30T00:00:00"/>
    <n v="165"/>
    <n v="0"/>
    <s v="None"/>
    <s v="Completed"/>
    <s v="Free"/>
    <n v="15"/>
    <s v="Yes"/>
    <x v="5"/>
    <x v="0"/>
    <x v="1"/>
    <x v="1"/>
  </r>
  <r>
    <s v="S00292"/>
    <s v="P2113"/>
    <s v="Cassandrarice"/>
    <s v="Zombie Rush"/>
    <s v="Console"/>
    <s v="North"/>
    <d v="2025-05-20T00:00:00"/>
    <n v="164"/>
    <n v="14.33"/>
    <s v="Skins"/>
    <s v="Completed"/>
    <s v="Paid"/>
    <n v="4"/>
    <s v="Yes"/>
    <x v="5"/>
    <x v="0"/>
    <x v="0"/>
    <x v="1"/>
  </r>
  <r>
    <s v="S00340"/>
    <s v="P6015"/>
    <s v="Terrychristina"/>
    <s v="Zombie Rush"/>
    <s v="Console"/>
    <s v="South"/>
    <d v="2025-05-12T00:00:00"/>
    <n v="168"/>
    <n v="33.729999999999997"/>
    <s v="Battle Pass"/>
    <s v="Completed"/>
    <s v="Paid"/>
    <n v="48"/>
    <s v="Yes"/>
    <x v="5"/>
    <x v="0"/>
    <x v="0"/>
    <x v="1"/>
  </r>
  <r>
    <s v="S00297"/>
    <s v="P2001"/>
    <s v="Yrichardson"/>
    <s v="BattleZone"/>
    <s v="PC"/>
    <s v="East"/>
    <d v="2025-05-05T00:00:00"/>
    <n v="68"/>
    <n v="0"/>
    <s v="None"/>
    <s v="Completed"/>
    <s v="Free"/>
    <n v="21"/>
    <s v="No"/>
    <x v="5"/>
    <x v="0"/>
    <x v="1"/>
    <x v="0"/>
  </r>
  <r>
    <s v="S00303"/>
    <s v="P8482"/>
    <s v="Hornjoshua"/>
    <s v="BattleZone"/>
    <s v="PC"/>
    <s v="East"/>
    <d v="2025-05-24T00:00:00"/>
    <n v="155"/>
    <n v="31.24"/>
    <s v="Battle Pass"/>
    <s v="Completed"/>
    <s v="Paid"/>
    <n v="33"/>
    <s v="Yes"/>
    <x v="5"/>
    <x v="0"/>
    <x v="0"/>
    <x v="1"/>
  </r>
  <r>
    <s v="S00304"/>
    <s v="P1757"/>
    <s v="Thomas29"/>
    <s v="Clash of Realms"/>
    <s v="Mobile"/>
    <s v="North"/>
    <d v="2025-05-08T00:00:00"/>
    <n v="122"/>
    <n v="40.31"/>
    <s v="Battle Pass"/>
    <s v="Completed"/>
    <s v="Paid"/>
    <n v="33"/>
    <s v="Yes"/>
    <x v="5"/>
    <x v="0"/>
    <x v="0"/>
    <x v="1"/>
  </r>
  <r>
    <s v="S00330"/>
    <s v="P6447"/>
    <s v="Jessica34"/>
    <s v="BattleZone"/>
    <s v="Console"/>
    <s v="Central"/>
    <d v="2025-05-22T00:00:00"/>
    <n v="100"/>
    <n v="0"/>
    <s v="None"/>
    <s v="Completed"/>
    <s v="Free"/>
    <n v="25"/>
    <s v="No"/>
    <x v="5"/>
    <x v="0"/>
    <x v="1"/>
    <x v="0"/>
  </r>
  <r>
    <s v="S00328"/>
    <s v="P3118"/>
    <s v="Jonathan53"/>
    <s v="Zombie Rush"/>
    <s v="PC"/>
    <s v="West"/>
    <d v="2025-05-24T00:00:00"/>
    <n v="102"/>
    <n v="0"/>
    <s v="None"/>
    <s v="Completed"/>
    <s v="Paid"/>
    <n v="44"/>
    <s v="No"/>
    <x v="5"/>
    <x v="0"/>
    <x v="1"/>
    <x v="0"/>
  </r>
  <r>
    <s v="S00327"/>
    <s v="P2736"/>
    <s v="Lcase"/>
    <s v="Empire Wars"/>
    <s v="Mobile"/>
    <s v="Central"/>
    <d v="2025-05-16T00:00:00"/>
    <n v="142"/>
    <n v="0"/>
    <s v="None"/>
    <s v="Incomplete"/>
    <s v="Free"/>
    <n v="49"/>
    <s v="No"/>
    <x v="5"/>
    <x v="0"/>
    <x v="1"/>
    <x v="0"/>
  </r>
  <r>
    <s v="S00004"/>
    <s v="P2930"/>
    <s v="Isaac85"/>
    <s v="Clash of Realms"/>
    <s v="Mobile"/>
    <s v="Central"/>
    <d v="2025-06-12T00:00:00"/>
    <n v="153"/>
    <n v="0"/>
    <s v="None"/>
    <s v="Completed"/>
    <s v="Free"/>
    <n v="18"/>
    <s v="Yes"/>
    <x v="6"/>
    <x v="0"/>
    <x v="1"/>
    <x v="1"/>
  </r>
  <r>
    <s v="S00030"/>
    <s v="P4408"/>
    <s v="Dlee"/>
    <s v="SpeedX"/>
    <s v="Mobile"/>
    <s v="South"/>
    <d v="2025-06-10T00:00:00"/>
    <n v="135"/>
    <n v="0"/>
    <s v="None"/>
    <s v="Completed"/>
    <s v="Free"/>
    <n v="12"/>
    <s v="No"/>
    <x v="6"/>
    <x v="0"/>
    <x v="1"/>
    <x v="0"/>
  </r>
  <r>
    <s v="S00064"/>
    <s v="P6094"/>
    <s v="Jenniferarnold"/>
    <s v="Zombie Rush"/>
    <s v="PC"/>
    <s v="South"/>
    <d v="2025-06-10T00:00:00"/>
    <n v="81"/>
    <n v="10.1"/>
    <s v="Subscriptions"/>
    <s v="Crashed"/>
    <s v="Paid"/>
    <n v="24"/>
    <s v="No"/>
    <x v="6"/>
    <x v="0"/>
    <x v="0"/>
    <x v="0"/>
  </r>
  <r>
    <s v="S00066"/>
    <s v="P2499"/>
    <s v="Mbowen"/>
    <s v="Empire Wars"/>
    <s v="PC"/>
    <s v="Central"/>
    <d v="2025-06-06T00:00:00"/>
    <n v="152"/>
    <n v="0"/>
    <s v="None"/>
    <s v="Completed"/>
    <s v="Free"/>
    <n v="21"/>
    <s v="Yes"/>
    <x v="6"/>
    <x v="0"/>
    <x v="1"/>
    <x v="1"/>
  </r>
  <r>
    <s v="S00068"/>
    <s v="P9995"/>
    <s v="Tinapreston"/>
    <s v="BattleZone"/>
    <s v="Console"/>
    <s v="North"/>
    <d v="2025-06-03T00:00:00"/>
    <n v="165"/>
    <n v="0"/>
    <s v="None"/>
    <s v="Completed"/>
    <s v="Free"/>
    <n v="41"/>
    <s v="Yes"/>
    <x v="6"/>
    <x v="0"/>
    <x v="1"/>
    <x v="1"/>
  </r>
  <r>
    <s v="S00071"/>
    <s v="P8019"/>
    <s v="Nwatkins"/>
    <s v="Empire Wars"/>
    <s v="PC"/>
    <s v="Central"/>
    <d v="2025-06-12T00:00:00"/>
    <n v="81"/>
    <n v="0"/>
    <s v="None"/>
    <s v="Exited Early"/>
    <s v="Free"/>
    <n v="37"/>
    <s v="No"/>
    <x v="6"/>
    <x v="0"/>
    <x v="1"/>
    <x v="0"/>
  </r>
  <r>
    <s v="S00091"/>
    <s v="P6128"/>
    <s v="Justinvargas"/>
    <s v="Clash of Realms"/>
    <s v="Console"/>
    <s v="West"/>
    <d v="2025-06-01T00:00:00"/>
    <n v="76"/>
    <n v="0"/>
    <s v="None"/>
    <s v="Completed"/>
    <s v="Free"/>
    <n v="44"/>
    <s v="No"/>
    <x v="6"/>
    <x v="0"/>
    <x v="1"/>
    <x v="0"/>
  </r>
  <r>
    <s v="S00109"/>
    <s v="P2082"/>
    <s v="Awise"/>
    <s v="Empire Wars"/>
    <s v="PC"/>
    <s v="North-East"/>
    <d v="2025-06-11T00:00:00"/>
    <n v="153"/>
    <n v="0"/>
    <s v="None"/>
    <s v="Completed"/>
    <s v="Free"/>
    <n v="48"/>
    <s v="Yes"/>
    <x v="6"/>
    <x v="0"/>
    <x v="1"/>
    <x v="1"/>
  </r>
  <r>
    <s v="S00125"/>
    <s v="P9017"/>
    <s v="Albertkelly"/>
    <s v="Zombie Rush"/>
    <s v="PC"/>
    <s v="South"/>
    <d v="2025-06-11T00:00:00"/>
    <n v="172"/>
    <n v="0"/>
    <s v="None"/>
    <s v="Exited Early"/>
    <s v="Free"/>
    <n v="21"/>
    <s v="Yes"/>
    <x v="6"/>
    <x v="0"/>
    <x v="1"/>
    <x v="1"/>
  </r>
  <r>
    <s v="S00128"/>
    <s v="P4959"/>
    <s v="Robert48"/>
    <s v="BattleZone"/>
    <s v="Mobile"/>
    <s v="North-East"/>
    <d v="2025-06-07T00:00:00"/>
    <n v="128"/>
    <n v="0"/>
    <s v="None"/>
    <s v="Crashed"/>
    <s v="Free"/>
    <n v="32"/>
    <s v="No"/>
    <x v="6"/>
    <x v="0"/>
    <x v="1"/>
    <x v="0"/>
  </r>
  <r>
    <s v="S00139"/>
    <s v="P4544"/>
    <s v="Martinrobert"/>
    <s v="Clash of Realms"/>
    <s v="Console"/>
    <s v="West"/>
    <d v="2025-06-06T00:00:00"/>
    <n v="137"/>
    <n v="0"/>
    <s v="None"/>
    <s v="Incomplete"/>
    <s v="Free"/>
    <n v="28"/>
    <s v="No"/>
    <x v="6"/>
    <x v="0"/>
    <x v="1"/>
    <x v="0"/>
  </r>
  <r>
    <s v="S00429"/>
    <s v="P4908"/>
    <s v="Twashington"/>
    <s v="Empire Wars"/>
    <s v="PC"/>
    <s v="East"/>
    <d v="2025-06-13T00:00:00"/>
    <n v="70"/>
    <n v="11.82"/>
    <s v="Battle Pass"/>
    <s v="Completed"/>
    <s v="Paid"/>
    <n v="5"/>
    <s v="No"/>
    <x v="6"/>
    <x v="0"/>
    <x v="0"/>
    <x v="0"/>
  </r>
  <r>
    <s v="S00170"/>
    <s v="P1330"/>
    <s v="Weaverdaniel"/>
    <s v="Zombie Rush"/>
    <s v="PC"/>
    <s v="West"/>
    <d v="2025-06-08T00:00:00"/>
    <n v="168"/>
    <n v="0"/>
    <s v="None"/>
    <s v="Completed"/>
    <s v="Free"/>
    <n v="18"/>
    <s v="Yes"/>
    <x v="6"/>
    <x v="0"/>
    <x v="1"/>
    <x v="1"/>
  </r>
  <r>
    <s v="S00388"/>
    <s v="P6440"/>
    <s v="Lisabarber"/>
    <s v="Clash of Realms"/>
    <s v="Console"/>
    <s v="North"/>
    <d v="2025-06-01T00:00:00"/>
    <n v="134"/>
    <n v="0"/>
    <s v="None"/>
    <s v="Completed"/>
    <s v="Free"/>
    <n v="28"/>
    <s v="No"/>
    <x v="6"/>
    <x v="0"/>
    <x v="1"/>
    <x v="0"/>
  </r>
  <r>
    <s v="S00214"/>
    <s v="P5369"/>
    <s v="Alexandermoore"/>
    <s v="SpeedX"/>
    <s v="Mobile"/>
    <s v="West"/>
    <d v="2025-06-09T00:00:00"/>
    <n v="93"/>
    <n v="0"/>
    <s v="None"/>
    <s v="Completed"/>
    <s v="Free"/>
    <n v="21"/>
    <s v="No"/>
    <x v="6"/>
    <x v="0"/>
    <x v="1"/>
    <x v="0"/>
  </r>
  <r>
    <s v="S00373"/>
    <s v="P9993"/>
    <s v="Bharris"/>
    <s v="SpeedX"/>
    <s v="PC"/>
    <s v="East"/>
    <d v="2025-06-03T00:00:00"/>
    <n v="128"/>
    <n v="0"/>
    <s v="None"/>
    <s v="Completed"/>
    <s v="Paid"/>
    <n v="29"/>
    <s v="No"/>
    <x v="6"/>
    <x v="0"/>
    <x v="1"/>
    <x v="0"/>
  </r>
  <r>
    <s v="S00362"/>
    <s v="P3956"/>
    <s v="Ruizkimberly"/>
    <s v="SpeedX"/>
    <s v="Mobile"/>
    <s v="Central"/>
    <d v="2025-06-11T00:00:00"/>
    <n v="73"/>
    <n v="0"/>
    <s v="None"/>
    <s v="Completed"/>
    <s v="Free"/>
    <n v="11"/>
    <s v="No"/>
    <x v="6"/>
    <x v="0"/>
    <x v="1"/>
    <x v="0"/>
  </r>
  <r>
    <s v="S00261"/>
    <s v="P7483"/>
    <s v="Murrayaaron"/>
    <s v="Zombie Rush"/>
    <s v="Console"/>
    <s v="East"/>
    <d v="2025-06-07T00:00:00"/>
    <n v="144"/>
    <n v="40.29"/>
    <s v="Subscriptions"/>
    <s v="Exited Early"/>
    <s v="Paid"/>
    <n v="1"/>
    <s v="Yes"/>
    <x v="6"/>
    <x v="0"/>
    <x v="0"/>
    <x v="1"/>
  </r>
  <r>
    <s v="S00267"/>
    <s v="P9642"/>
    <s v="Dfloyd"/>
    <s v="Empire Wars"/>
    <s v="Mobile"/>
    <s v="East"/>
    <d v="2025-06-02T00:00:00"/>
    <n v="128"/>
    <n v="0"/>
    <s v="None"/>
    <s v="Completed"/>
    <s v="Free"/>
    <n v="15"/>
    <s v="No"/>
    <x v="6"/>
    <x v="0"/>
    <x v="1"/>
    <x v="0"/>
  </r>
  <r>
    <s v="S00285"/>
    <s v="P3464"/>
    <s v="Ryan43"/>
    <s v="BattleZone"/>
    <s v="Console"/>
    <s v="North-East"/>
    <d v="2025-06-03T00:00:00"/>
    <n v="85"/>
    <n v="0"/>
    <s v="None"/>
    <s v="Exited Early"/>
    <s v="Free"/>
    <n v="24"/>
    <s v="No"/>
    <x v="6"/>
    <x v="0"/>
    <x v="1"/>
    <x v="0"/>
  </r>
  <r>
    <s v="S00310"/>
    <s v="P5092"/>
    <s v="Owenssherry"/>
    <s v="Clash of Realms"/>
    <s v="Console"/>
    <s v="East"/>
    <d v="2025-06-04T00:00:00"/>
    <n v="139"/>
    <n v="0"/>
    <s v="None"/>
    <s v="Completed"/>
    <s v="Free"/>
    <n v="1"/>
    <s v="No"/>
    <x v="6"/>
    <x v="0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x v="0"/>
    <x v="0"/>
    <s v="Wlee"/>
    <s v="Zombie Rush"/>
    <x v="0"/>
    <x v="0"/>
    <d v="2024-12-16T00:00:00"/>
    <n v="75"/>
    <n v="26.02"/>
    <s v="Boosters"/>
    <s v="Completed"/>
    <s v="Paid"/>
    <n v="11"/>
    <s v="No"/>
    <x v="0"/>
    <x v="0"/>
    <x v="0"/>
    <x v="0"/>
  </r>
  <r>
    <x v="1"/>
    <x v="1"/>
    <s v="Cynthiapoole"/>
    <s v="Zombie Rush"/>
    <x v="1"/>
    <x v="1"/>
    <d v="2024-12-19T00:00:00"/>
    <n v="108"/>
    <n v="0"/>
    <s v="None"/>
    <s v="Completed"/>
    <s v="Free"/>
    <n v="35"/>
    <s v="No"/>
    <x v="0"/>
    <x v="0"/>
    <x v="1"/>
    <x v="0"/>
  </r>
  <r>
    <x v="2"/>
    <x v="2"/>
    <s v="Mlewis"/>
    <s v="Clash of Realms"/>
    <x v="2"/>
    <x v="2"/>
    <d v="2024-12-28T00:00:00"/>
    <n v="132"/>
    <n v="18"/>
    <s v="Battle Pass"/>
    <s v="Crashed"/>
    <s v="Paid"/>
    <n v="3"/>
    <s v="No"/>
    <x v="0"/>
    <x v="0"/>
    <x v="0"/>
    <x v="0"/>
  </r>
  <r>
    <x v="3"/>
    <x v="3"/>
    <s v="Lindagalloway"/>
    <s v="Empire Wars"/>
    <x v="0"/>
    <x v="2"/>
    <d v="2024-12-29T00:00:00"/>
    <n v="113"/>
    <n v="0"/>
    <s v="None"/>
    <s v="Completed"/>
    <s v="Free"/>
    <n v="17"/>
    <s v="No"/>
    <x v="0"/>
    <x v="0"/>
    <x v="1"/>
    <x v="0"/>
  </r>
  <r>
    <x v="4"/>
    <x v="4"/>
    <s v="Manderson"/>
    <s v="Zombie Rush"/>
    <x v="0"/>
    <x v="1"/>
    <d v="2024-12-25T00:00:00"/>
    <n v="92"/>
    <n v="0"/>
    <s v="None"/>
    <s v="Incomplete"/>
    <s v="Free"/>
    <n v="21"/>
    <s v="No"/>
    <x v="0"/>
    <x v="0"/>
    <x v="1"/>
    <x v="0"/>
  </r>
  <r>
    <x v="5"/>
    <x v="5"/>
    <s v="Cynthiasimmons"/>
    <s v="BattleZone"/>
    <x v="0"/>
    <x v="3"/>
    <d v="2024-12-20T00:00:00"/>
    <n v="154"/>
    <n v="0"/>
    <s v="None"/>
    <s v="Completed"/>
    <s v="Free"/>
    <n v="11"/>
    <s v="Yes"/>
    <x v="0"/>
    <x v="0"/>
    <x v="1"/>
    <x v="1"/>
  </r>
  <r>
    <x v="6"/>
    <x v="6"/>
    <s v="Riggsbarbara"/>
    <s v="SpeedX"/>
    <x v="2"/>
    <x v="2"/>
    <d v="2024-12-20T00:00:00"/>
    <n v="164"/>
    <n v="0"/>
    <s v="None"/>
    <s v="Completed"/>
    <s v="Paid"/>
    <n v="19"/>
    <s v="Yes"/>
    <x v="0"/>
    <x v="0"/>
    <x v="1"/>
    <x v="1"/>
  </r>
  <r>
    <x v="7"/>
    <x v="7"/>
    <s v="Fsteele"/>
    <s v="Empire Wars"/>
    <x v="0"/>
    <x v="0"/>
    <d v="2024-12-28T00:00:00"/>
    <n v="133"/>
    <n v="0"/>
    <s v="None"/>
    <s v="Exited Early"/>
    <s v="Free"/>
    <n v="10"/>
    <s v="No"/>
    <x v="0"/>
    <x v="0"/>
    <x v="1"/>
    <x v="0"/>
  </r>
  <r>
    <x v="8"/>
    <x v="8"/>
    <s v="Heatherpayne"/>
    <s v="BattleZone"/>
    <x v="1"/>
    <x v="0"/>
    <d v="2024-12-30T00:00:00"/>
    <n v="165"/>
    <n v="0"/>
    <s v="None"/>
    <s v="Crashed"/>
    <s v="Free"/>
    <n v="48"/>
    <s v="Yes"/>
    <x v="0"/>
    <x v="0"/>
    <x v="1"/>
    <x v="1"/>
  </r>
  <r>
    <x v="9"/>
    <x v="9"/>
    <s v="Caitlinmiller"/>
    <s v="Clash of Realms"/>
    <x v="2"/>
    <x v="4"/>
    <d v="2024-12-26T00:00:00"/>
    <n v="96"/>
    <n v="0"/>
    <s v="None"/>
    <s v="Completed"/>
    <s v="Free"/>
    <n v="49"/>
    <s v="No"/>
    <x v="0"/>
    <x v="0"/>
    <x v="1"/>
    <x v="0"/>
  </r>
  <r>
    <x v="10"/>
    <x v="10"/>
    <s v="Melissa89"/>
    <s v="Zombie Rush"/>
    <x v="0"/>
    <x v="0"/>
    <d v="2024-12-18T00:00:00"/>
    <n v="89"/>
    <n v="30.92"/>
    <s v="Boosters"/>
    <s v="Completed"/>
    <s v="Paid"/>
    <n v="48"/>
    <s v="No"/>
    <x v="0"/>
    <x v="0"/>
    <x v="0"/>
    <x v="0"/>
  </r>
  <r>
    <x v="11"/>
    <x v="11"/>
    <s v="Davidkelley"/>
    <s v="Zombie Rush"/>
    <x v="0"/>
    <x v="5"/>
    <d v="2024-12-22T00:00:00"/>
    <n v="156"/>
    <n v="0"/>
    <s v="None"/>
    <s v="Completed"/>
    <s v="Paid"/>
    <n v="45"/>
    <s v="Yes"/>
    <x v="0"/>
    <x v="0"/>
    <x v="1"/>
    <x v="1"/>
  </r>
  <r>
    <x v="12"/>
    <x v="12"/>
    <s v="Gregbaker"/>
    <s v="Zombie Rush"/>
    <x v="2"/>
    <x v="4"/>
    <d v="2024-12-19T00:00:00"/>
    <n v="176"/>
    <n v="0"/>
    <s v="None"/>
    <s v="Completed"/>
    <s v="Free"/>
    <n v="18"/>
    <s v="Yes"/>
    <x v="0"/>
    <x v="0"/>
    <x v="1"/>
    <x v="1"/>
  </r>
  <r>
    <x v="13"/>
    <x v="13"/>
    <s v="Briansteele"/>
    <s v="Zombie Rush"/>
    <x v="2"/>
    <x v="2"/>
    <d v="2024-12-18T00:00:00"/>
    <n v="95"/>
    <n v="0"/>
    <s v="None"/>
    <s v="Completed"/>
    <s v="Free"/>
    <n v="20"/>
    <s v="No"/>
    <x v="0"/>
    <x v="0"/>
    <x v="1"/>
    <x v="0"/>
  </r>
  <r>
    <x v="14"/>
    <x v="14"/>
    <s v="Huangdana"/>
    <s v="SpeedX"/>
    <x v="1"/>
    <x v="3"/>
    <d v="2024-12-22T00:00:00"/>
    <n v="107"/>
    <n v="0"/>
    <s v="None"/>
    <s v="Incomplete"/>
    <s v="Free"/>
    <n v="7"/>
    <s v="No"/>
    <x v="0"/>
    <x v="0"/>
    <x v="1"/>
    <x v="0"/>
  </r>
  <r>
    <x v="15"/>
    <x v="15"/>
    <s v="Michellemurphy"/>
    <s v="Clash of Realms"/>
    <x v="2"/>
    <x v="0"/>
    <d v="2024-12-24T00:00:00"/>
    <n v="146"/>
    <n v="0"/>
    <s v="None"/>
    <s v="Completed"/>
    <s v="Free"/>
    <n v="28"/>
    <s v="No"/>
    <x v="0"/>
    <x v="0"/>
    <x v="1"/>
    <x v="0"/>
  </r>
  <r>
    <x v="16"/>
    <x v="16"/>
    <s v="Emilynelson"/>
    <s v="Zombie Rush"/>
    <x v="2"/>
    <x v="5"/>
    <d v="2024-12-15T00:00:00"/>
    <n v="159"/>
    <n v="0"/>
    <s v="None"/>
    <s v="Completed"/>
    <s v="Free"/>
    <n v="14"/>
    <s v="Yes"/>
    <x v="0"/>
    <x v="0"/>
    <x v="1"/>
    <x v="1"/>
  </r>
  <r>
    <x v="17"/>
    <x v="17"/>
    <s v="Samantha20"/>
    <s v="Empire Wars"/>
    <x v="0"/>
    <x v="5"/>
    <d v="2024-12-17T00:00:00"/>
    <n v="92"/>
    <n v="0"/>
    <s v="None"/>
    <s v="Completed"/>
    <s v="Paid"/>
    <n v="31"/>
    <s v="No"/>
    <x v="0"/>
    <x v="0"/>
    <x v="1"/>
    <x v="0"/>
  </r>
  <r>
    <x v="18"/>
    <x v="18"/>
    <s v="Coxanthony"/>
    <s v="Empire Wars"/>
    <x v="1"/>
    <x v="2"/>
    <d v="2024-12-31T00:00:00"/>
    <n v="86"/>
    <n v="0"/>
    <s v="None"/>
    <s v="Incomplete"/>
    <s v="Paid"/>
    <n v="17"/>
    <s v="No"/>
    <x v="0"/>
    <x v="0"/>
    <x v="1"/>
    <x v="0"/>
  </r>
  <r>
    <x v="19"/>
    <x v="19"/>
    <s v="Ambersmith"/>
    <s v="Zombie Rush"/>
    <x v="2"/>
    <x v="0"/>
    <d v="2024-12-30T00:00:00"/>
    <n v="156"/>
    <n v="0"/>
    <s v="None"/>
    <s v="Completed"/>
    <s v="Free"/>
    <n v="34"/>
    <s v="Yes"/>
    <x v="0"/>
    <x v="0"/>
    <x v="1"/>
    <x v="1"/>
  </r>
  <r>
    <x v="20"/>
    <x v="20"/>
    <s v="Garciadanielle"/>
    <s v="Zombie Rush"/>
    <x v="0"/>
    <x v="1"/>
    <d v="2024-12-28T00:00:00"/>
    <n v="117"/>
    <n v="0"/>
    <s v="None"/>
    <s v="Completed"/>
    <s v="Free"/>
    <n v="17"/>
    <s v="No"/>
    <x v="0"/>
    <x v="0"/>
    <x v="1"/>
    <x v="0"/>
  </r>
  <r>
    <x v="21"/>
    <x v="21"/>
    <s v="Selliott"/>
    <s v="Empire Wars"/>
    <x v="0"/>
    <x v="2"/>
    <d v="2024-12-15T00:00:00"/>
    <n v="109"/>
    <n v="0"/>
    <s v="None"/>
    <s v="Completed"/>
    <s v="Free"/>
    <n v="15"/>
    <s v="No"/>
    <x v="0"/>
    <x v="0"/>
    <x v="1"/>
    <x v="0"/>
  </r>
  <r>
    <x v="22"/>
    <x v="22"/>
    <s v="Monique85"/>
    <s v="BattleZone"/>
    <x v="1"/>
    <x v="5"/>
    <d v="2024-12-25T00:00:00"/>
    <n v="167"/>
    <n v="0"/>
    <s v="None"/>
    <s v="Completed"/>
    <s v="Paid"/>
    <n v="37"/>
    <s v="Yes"/>
    <x v="0"/>
    <x v="0"/>
    <x v="1"/>
    <x v="1"/>
  </r>
  <r>
    <x v="23"/>
    <x v="23"/>
    <s v="Davisdevin"/>
    <s v="BattleZone"/>
    <x v="0"/>
    <x v="4"/>
    <d v="2024-12-16T00:00:00"/>
    <n v="114"/>
    <n v="5.31"/>
    <s v="Boosters"/>
    <s v="Completed"/>
    <s v="Paid"/>
    <n v="9"/>
    <s v="No"/>
    <x v="0"/>
    <x v="0"/>
    <x v="0"/>
    <x v="0"/>
  </r>
  <r>
    <x v="24"/>
    <x v="24"/>
    <s v="Amandarogers"/>
    <s v="Zombie Rush"/>
    <x v="1"/>
    <x v="3"/>
    <d v="2024-12-29T00:00:00"/>
    <n v="83"/>
    <n v="0"/>
    <s v="None"/>
    <s v="Completed"/>
    <s v="Free"/>
    <n v="49"/>
    <s v="No"/>
    <x v="0"/>
    <x v="0"/>
    <x v="1"/>
    <x v="0"/>
  </r>
  <r>
    <x v="25"/>
    <x v="25"/>
    <s v="Joseph76"/>
    <s v="Zombie Rush"/>
    <x v="0"/>
    <x v="3"/>
    <d v="2024-12-26T00:00:00"/>
    <n v="154"/>
    <n v="0"/>
    <s v="None"/>
    <s v="Completed"/>
    <s v="Free"/>
    <n v="22"/>
    <s v="Yes"/>
    <x v="0"/>
    <x v="0"/>
    <x v="1"/>
    <x v="1"/>
  </r>
  <r>
    <x v="26"/>
    <x v="26"/>
    <s v="Jackbarnes"/>
    <s v="Empire Wars"/>
    <x v="2"/>
    <x v="3"/>
    <d v="2024-12-13T00:00:00"/>
    <n v="177"/>
    <n v="0"/>
    <s v="None"/>
    <s v="Completed"/>
    <s v="Free"/>
    <n v="25"/>
    <s v="Yes"/>
    <x v="0"/>
    <x v="0"/>
    <x v="1"/>
    <x v="1"/>
  </r>
  <r>
    <x v="27"/>
    <x v="27"/>
    <s v="Juanjones"/>
    <s v="Empire Wars"/>
    <x v="0"/>
    <x v="4"/>
    <d v="2024-12-13T00:00:00"/>
    <n v="133"/>
    <n v="8.0500000000000007"/>
    <s v="Skins"/>
    <s v="Completed"/>
    <s v="Paid"/>
    <n v="35"/>
    <s v="No"/>
    <x v="0"/>
    <x v="0"/>
    <x v="0"/>
    <x v="0"/>
  </r>
  <r>
    <x v="28"/>
    <x v="28"/>
    <s v="Danieldonaldson"/>
    <s v="Empire Wars"/>
    <x v="1"/>
    <x v="4"/>
    <d v="2024-12-20T00:00:00"/>
    <n v="72"/>
    <n v="0"/>
    <s v="None"/>
    <s v="Completed"/>
    <s v="Free"/>
    <n v="34"/>
    <s v="No"/>
    <x v="0"/>
    <x v="0"/>
    <x v="1"/>
    <x v="0"/>
  </r>
  <r>
    <x v="29"/>
    <x v="29"/>
    <s v="Smithshawn"/>
    <s v="BattleZone"/>
    <x v="1"/>
    <x v="1"/>
    <d v="2024-12-24T00:00:00"/>
    <n v="175"/>
    <n v="0"/>
    <s v="None"/>
    <s v="Incomplete"/>
    <s v="Free"/>
    <n v="22"/>
    <s v="Yes"/>
    <x v="0"/>
    <x v="0"/>
    <x v="1"/>
    <x v="1"/>
  </r>
  <r>
    <x v="30"/>
    <x v="30"/>
    <s v="Davisheather"/>
    <s v="Clash of Realms"/>
    <x v="0"/>
    <x v="1"/>
    <d v="2024-12-29T00:00:00"/>
    <n v="166"/>
    <n v="0"/>
    <s v="None"/>
    <s v="Incomplete"/>
    <s v="Free"/>
    <n v="30"/>
    <s v="Yes"/>
    <x v="0"/>
    <x v="0"/>
    <x v="1"/>
    <x v="1"/>
  </r>
  <r>
    <x v="31"/>
    <x v="31"/>
    <s v="Wanda82"/>
    <s v="Clash of Realms"/>
    <x v="1"/>
    <x v="4"/>
    <d v="2024-12-26T00:00:00"/>
    <n v="154"/>
    <n v="0"/>
    <s v="None"/>
    <s v="Completed"/>
    <s v="Paid"/>
    <n v="14"/>
    <s v="Yes"/>
    <x v="0"/>
    <x v="0"/>
    <x v="1"/>
    <x v="1"/>
  </r>
  <r>
    <x v="32"/>
    <x v="32"/>
    <s v="Yperez"/>
    <s v="SpeedX"/>
    <x v="1"/>
    <x v="1"/>
    <d v="2024-12-18T00:00:00"/>
    <n v="174"/>
    <n v="0"/>
    <s v="None"/>
    <s v="Exited Early"/>
    <s v="Free"/>
    <n v="50"/>
    <s v="Yes"/>
    <x v="0"/>
    <x v="0"/>
    <x v="1"/>
    <x v="1"/>
  </r>
  <r>
    <x v="33"/>
    <x v="33"/>
    <s v="Erinhansen"/>
    <s v="SpeedX"/>
    <x v="0"/>
    <x v="5"/>
    <d v="2024-12-21T00:00:00"/>
    <n v="77"/>
    <n v="0"/>
    <s v="None"/>
    <s v="Completed"/>
    <s v="Free"/>
    <n v="11"/>
    <s v="No"/>
    <x v="0"/>
    <x v="0"/>
    <x v="1"/>
    <x v="0"/>
  </r>
  <r>
    <x v="34"/>
    <x v="34"/>
    <s v="Gerald82"/>
    <s v="Clash of Realms"/>
    <x v="2"/>
    <x v="5"/>
    <d v="2024-12-15T00:00:00"/>
    <n v="175"/>
    <n v="0"/>
    <s v="None"/>
    <s v="Crashed"/>
    <s v="Paid"/>
    <n v="10"/>
    <s v="Yes"/>
    <x v="0"/>
    <x v="0"/>
    <x v="1"/>
    <x v="1"/>
  </r>
  <r>
    <x v="35"/>
    <x v="35"/>
    <s v="Fnolan"/>
    <s v="Clash of Realms"/>
    <x v="0"/>
    <x v="5"/>
    <d v="2025-01-03T00:00:00"/>
    <n v="172"/>
    <n v="0"/>
    <s v="None"/>
    <s v="Exited Early"/>
    <s v="Free"/>
    <n v="4"/>
    <s v="Yes"/>
    <x v="1"/>
    <x v="0"/>
    <x v="1"/>
    <x v="1"/>
  </r>
  <r>
    <x v="36"/>
    <x v="36"/>
    <s v="April12"/>
    <s v="Empire Wars"/>
    <x v="2"/>
    <x v="4"/>
    <d v="2025-01-15T00:00:00"/>
    <n v="171"/>
    <n v="0"/>
    <s v="None"/>
    <s v="Completed"/>
    <s v="Free"/>
    <n v="35"/>
    <s v="Yes"/>
    <x v="1"/>
    <x v="0"/>
    <x v="1"/>
    <x v="1"/>
  </r>
  <r>
    <x v="37"/>
    <x v="37"/>
    <s v="Raynatalie"/>
    <s v="BattleZone"/>
    <x v="0"/>
    <x v="1"/>
    <d v="2025-01-07T00:00:00"/>
    <n v="163"/>
    <n v="0"/>
    <s v="None"/>
    <s v="Completed"/>
    <s v="Free"/>
    <n v="50"/>
    <s v="Yes"/>
    <x v="1"/>
    <x v="0"/>
    <x v="1"/>
    <x v="1"/>
  </r>
  <r>
    <x v="38"/>
    <x v="38"/>
    <s v="Xtaylor"/>
    <s v="BattleZone"/>
    <x v="1"/>
    <x v="1"/>
    <d v="2025-01-24T00:00:00"/>
    <n v="128"/>
    <n v="0"/>
    <s v="None"/>
    <s v="Incomplete"/>
    <s v="Free"/>
    <n v="7"/>
    <s v="No"/>
    <x v="1"/>
    <x v="0"/>
    <x v="1"/>
    <x v="0"/>
  </r>
  <r>
    <x v="39"/>
    <x v="39"/>
    <s v="Aguilarjennifer"/>
    <s v="Empire Wars"/>
    <x v="2"/>
    <x v="2"/>
    <d v="2025-01-28T00:00:00"/>
    <n v="173"/>
    <n v="0"/>
    <s v="None"/>
    <s v="Exited Early"/>
    <s v="Free"/>
    <n v="30"/>
    <s v="Yes"/>
    <x v="1"/>
    <x v="0"/>
    <x v="1"/>
    <x v="1"/>
  </r>
  <r>
    <x v="40"/>
    <x v="40"/>
    <s v="Bruce09"/>
    <s v="SpeedX"/>
    <x v="1"/>
    <x v="2"/>
    <d v="2025-01-16T00:00:00"/>
    <n v="82"/>
    <n v="24.1"/>
    <s v="Skins"/>
    <s v="Completed"/>
    <s v="Paid"/>
    <n v="34"/>
    <s v="No"/>
    <x v="1"/>
    <x v="0"/>
    <x v="0"/>
    <x v="0"/>
  </r>
  <r>
    <x v="41"/>
    <x v="41"/>
    <s v="Nnguyen"/>
    <s v="BattleZone"/>
    <x v="1"/>
    <x v="4"/>
    <d v="2025-01-19T00:00:00"/>
    <n v="112"/>
    <n v="30.74"/>
    <s v="Subscriptions"/>
    <s v="Completed"/>
    <s v="Paid"/>
    <n v="10"/>
    <s v="No"/>
    <x v="1"/>
    <x v="0"/>
    <x v="0"/>
    <x v="0"/>
  </r>
  <r>
    <x v="42"/>
    <x v="42"/>
    <s v="Valenzuelakim"/>
    <s v="BattleZone"/>
    <x v="1"/>
    <x v="3"/>
    <d v="2025-01-16T00:00:00"/>
    <n v="111"/>
    <n v="0"/>
    <s v="None"/>
    <s v="Completed"/>
    <s v="Free"/>
    <n v="38"/>
    <s v="No"/>
    <x v="1"/>
    <x v="0"/>
    <x v="1"/>
    <x v="0"/>
  </r>
  <r>
    <x v="43"/>
    <x v="43"/>
    <s v="Griffinsarah"/>
    <s v="SpeedX"/>
    <x v="0"/>
    <x v="0"/>
    <d v="2025-01-01T00:00:00"/>
    <n v="82"/>
    <n v="0"/>
    <s v="None"/>
    <s v="Incomplete"/>
    <s v="Free"/>
    <n v="26"/>
    <s v="No"/>
    <x v="1"/>
    <x v="0"/>
    <x v="1"/>
    <x v="0"/>
  </r>
  <r>
    <x v="44"/>
    <x v="44"/>
    <s v="Kgonzalez"/>
    <s v="Clash of Realms"/>
    <x v="0"/>
    <x v="1"/>
    <d v="2025-01-08T00:00:00"/>
    <n v="166"/>
    <n v="23.59"/>
    <s v="Battle Pass"/>
    <s v="Completed"/>
    <s v="Paid"/>
    <n v="19"/>
    <s v="Yes"/>
    <x v="1"/>
    <x v="0"/>
    <x v="0"/>
    <x v="1"/>
  </r>
  <r>
    <x v="45"/>
    <x v="45"/>
    <s v="Davischristopher"/>
    <s v="Zombie Rush"/>
    <x v="2"/>
    <x v="4"/>
    <d v="2025-01-01T00:00:00"/>
    <n v="77"/>
    <n v="39.880000000000003"/>
    <s v="Skins"/>
    <s v="Completed"/>
    <s v="Paid"/>
    <n v="25"/>
    <s v="No"/>
    <x v="1"/>
    <x v="0"/>
    <x v="0"/>
    <x v="0"/>
  </r>
  <r>
    <x v="46"/>
    <x v="46"/>
    <s v="Harrisonsteven"/>
    <s v="SpeedX"/>
    <x v="1"/>
    <x v="4"/>
    <d v="2025-01-05T00:00:00"/>
    <n v="64"/>
    <n v="0"/>
    <s v="None"/>
    <s v="Exited Early"/>
    <s v="Free"/>
    <n v="13"/>
    <s v="No"/>
    <x v="1"/>
    <x v="0"/>
    <x v="1"/>
    <x v="0"/>
  </r>
  <r>
    <x v="47"/>
    <x v="47"/>
    <s v="Claudiasilva"/>
    <s v="Empire Wars"/>
    <x v="2"/>
    <x v="1"/>
    <d v="2025-01-17T00:00:00"/>
    <n v="165"/>
    <n v="0"/>
    <s v="None"/>
    <s v="Completed"/>
    <s v="Free"/>
    <n v="15"/>
    <s v="Yes"/>
    <x v="1"/>
    <x v="0"/>
    <x v="1"/>
    <x v="1"/>
  </r>
  <r>
    <x v="48"/>
    <x v="48"/>
    <s v="Noah21"/>
    <s v="Clash of Realms"/>
    <x v="1"/>
    <x v="4"/>
    <d v="2025-01-25T00:00:00"/>
    <n v="79"/>
    <n v="0"/>
    <s v="None"/>
    <s v="Exited Early"/>
    <s v="Free"/>
    <n v="18"/>
    <s v="No"/>
    <x v="1"/>
    <x v="0"/>
    <x v="1"/>
    <x v="0"/>
  </r>
  <r>
    <x v="49"/>
    <x v="49"/>
    <s v="Martinderrick"/>
    <s v="Zombie Rush"/>
    <x v="2"/>
    <x v="5"/>
    <d v="2025-01-02T00:00:00"/>
    <n v="84"/>
    <n v="0"/>
    <s v="None"/>
    <s v="Completed"/>
    <s v="Free"/>
    <n v="11"/>
    <s v="No"/>
    <x v="1"/>
    <x v="0"/>
    <x v="1"/>
    <x v="0"/>
  </r>
  <r>
    <x v="50"/>
    <x v="50"/>
    <s v="Connerkevin"/>
    <s v="BattleZone"/>
    <x v="2"/>
    <x v="3"/>
    <d v="2025-01-08T00:00:00"/>
    <n v="147"/>
    <n v="0"/>
    <s v="None"/>
    <s v="Completed"/>
    <s v="Free"/>
    <n v="14"/>
    <s v="No"/>
    <x v="1"/>
    <x v="0"/>
    <x v="1"/>
    <x v="0"/>
  </r>
  <r>
    <x v="51"/>
    <x v="51"/>
    <s v="Jbriggs"/>
    <s v="Clash of Realms"/>
    <x v="2"/>
    <x v="5"/>
    <d v="2025-01-09T00:00:00"/>
    <n v="92"/>
    <n v="0"/>
    <s v="None"/>
    <s v="Completed"/>
    <s v="Free"/>
    <n v="33"/>
    <s v="No"/>
    <x v="1"/>
    <x v="0"/>
    <x v="1"/>
    <x v="0"/>
  </r>
  <r>
    <x v="52"/>
    <x v="52"/>
    <s v="Sheiladavis"/>
    <s v="Clash of Realms"/>
    <x v="1"/>
    <x v="0"/>
    <d v="2025-01-12T00:00:00"/>
    <n v="123"/>
    <n v="22.4"/>
    <s v="Skins"/>
    <s v="Completed"/>
    <s v="Paid"/>
    <n v="33"/>
    <s v="No"/>
    <x v="1"/>
    <x v="0"/>
    <x v="0"/>
    <x v="0"/>
  </r>
  <r>
    <x v="53"/>
    <x v="53"/>
    <s v="Boylejeffrey"/>
    <s v="Empire Wars"/>
    <x v="0"/>
    <x v="2"/>
    <d v="2025-01-04T00:00:00"/>
    <n v="115"/>
    <n v="0"/>
    <s v="None"/>
    <s v="Completed"/>
    <s v="Free"/>
    <n v="17"/>
    <s v="No"/>
    <x v="1"/>
    <x v="0"/>
    <x v="1"/>
    <x v="0"/>
  </r>
  <r>
    <x v="54"/>
    <x v="54"/>
    <s v="Qserrano"/>
    <s v="Zombie Rush"/>
    <x v="0"/>
    <x v="1"/>
    <d v="2025-01-20T00:00:00"/>
    <n v="180"/>
    <n v="0"/>
    <s v="None"/>
    <s v="Completed"/>
    <s v="Free"/>
    <n v="28"/>
    <s v="Yes"/>
    <x v="1"/>
    <x v="0"/>
    <x v="1"/>
    <x v="1"/>
  </r>
  <r>
    <x v="55"/>
    <x v="55"/>
    <s v="Blakewallace"/>
    <s v="BattleZone"/>
    <x v="0"/>
    <x v="0"/>
    <d v="2025-01-28T00:00:00"/>
    <n v="101"/>
    <n v="0"/>
    <s v="None"/>
    <s v="Completed"/>
    <s v="Free"/>
    <n v="6"/>
    <s v="No"/>
    <x v="1"/>
    <x v="0"/>
    <x v="1"/>
    <x v="0"/>
  </r>
  <r>
    <x v="56"/>
    <x v="56"/>
    <s v="Zmendoza"/>
    <s v="Clash of Realms"/>
    <x v="0"/>
    <x v="2"/>
    <d v="2025-01-21T00:00:00"/>
    <n v="96"/>
    <n v="0"/>
    <s v="None"/>
    <s v="Completed"/>
    <s v="Paid"/>
    <n v="38"/>
    <s v="No"/>
    <x v="1"/>
    <x v="0"/>
    <x v="1"/>
    <x v="0"/>
  </r>
  <r>
    <x v="57"/>
    <x v="57"/>
    <s v="Elee"/>
    <s v="Clash of Realms"/>
    <x v="2"/>
    <x v="3"/>
    <d v="2025-01-31T00:00:00"/>
    <n v="142"/>
    <n v="0"/>
    <s v="None"/>
    <s v="Completed"/>
    <s v="Free"/>
    <n v="3"/>
    <s v="No"/>
    <x v="1"/>
    <x v="0"/>
    <x v="1"/>
    <x v="0"/>
  </r>
  <r>
    <x v="58"/>
    <x v="58"/>
    <s v="Haroldsawyer"/>
    <s v="Empire Wars"/>
    <x v="1"/>
    <x v="5"/>
    <d v="2025-01-10T00:00:00"/>
    <n v="123"/>
    <n v="0"/>
    <s v="None"/>
    <s v="Crashed"/>
    <s v="Free"/>
    <n v="12"/>
    <s v="No"/>
    <x v="1"/>
    <x v="0"/>
    <x v="1"/>
    <x v="0"/>
  </r>
  <r>
    <x v="59"/>
    <x v="59"/>
    <s v="Jacobsonmichael"/>
    <s v="BattleZone"/>
    <x v="2"/>
    <x v="4"/>
    <d v="2025-01-04T00:00:00"/>
    <n v="153"/>
    <n v="0"/>
    <s v="None"/>
    <s v="Exited Early"/>
    <s v="Free"/>
    <n v="15"/>
    <s v="Yes"/>
    <x v="1"/>
    <x v="0"/>
    <x v="1"/>
    <x v="1"/>
  </r>
  <r>
    <x v="60"/>
    <x v="60"/>
    <s v="Vedwards"/>
    <s v="Zombie Rush"/>
    <x v="0"/>
    <x v="1"/>
    <d v="2025-01-13T00:00:00"/>
    <n v="133"/>
    <n v="0"/>
    <s v="None"/>
    <s v="Completed"/>
    <s v="Free"/>
    <n v="35"/>
    <s v="No"/>
    <x v="1"/>
    <x v="0"/>
    <x v="1"/>
    <x v="0"/>
  </r>
  <r>
    <x v="61"/>
    <x v="61"/>
    <s v="Thomasmonica"/>
    <s v="SpeedX"/>
    <x v="1"/>
    <x v="1"/>
    <d v="2025-01-01T00:00:00"/>
    <n v="175"/>
    <n v="0"/>
    <s v="None"/>
    <s v="Completed"/>
    <s v="Free"/>
    <n v="49"/>
    <s v="Yes"/>
    <x v="1"/>
    <x v="0"/>
    <x v="1"/>
    <x v="1"/>
  </r>
  <r>
    <x v="62"/>
    <x v="62"/>
    <s v="Reedchad"/>
    <s v="Clash of Realms"/>
    <x v="1"/>
    <x v="4"/>
    <d v="2025-01-28T00:00:00"/>
    <n v="106"/>
    <n v="0"/>
    <s v="None"/>
    <s v="Completed"/>
    <s v="Free"/>
    <n v="15"/>
    <s v="No"/>
    <x v="1"/>
    <x v="0"/>
    <x v="1"/>
    <x v="0"/>
  </r>
  <r>
    <x v="63"/>
    <x v="63"/>
    <s v="Kacosta"/>
    <s v="Zombie Rush"/>
    <x v="1"/>
    <x v="0"/>
    <d v="2025-01-23T00:00:00"/>
    <n v="139"/>
    <n v="0"/>
    <s v="None"/>
    <s v="Completed"/>
    <s v="Free"/>
    <n v="37"/>
    <s v="No"/>
    <x v="1"/>
    <x v="0"/>
    <x v="1"/>
    <x v="0"/>
  </r>
  <r>
    <x v="64"/>
    <x v="64"/>
    <s v="Melissa77"/>
    <s v="Empire Wars"/>
    <x v="2"/>
    <x v="1"/>
    <d v="2025-01-26T00:00:00"/>
    <n v="99"/>
    <n v="0"/>
    <s v="None"/>
    <s v="Completed"/>
    <s v="Free"/>
    <n v="2"/>
    <s v="No"/>
    <x v="1"/>
    <x v="0"/>
    <x v="1"/>
    <x v="0"/>
  </r>
  <r>
    <x v="65"/>
    <x v="65"/>
    <s v="Brian05"/>
    <s v="Empire Wars"/>
    <x v="0"/>
    <x v="1"/>
    <d v="2025-01-27T00:00:00"/>
    <n v="156"/>
    <n v="0"/>
    <s v="None"/>
    <s v="Completed"/>
    <s v="Free"/>
    <n v="6"/>
    <s v="Yes"/>
    <x v="1"/>
    <x v="0"/>
    <x v="1"/>
    <x v="1"/>
  </r>
  <r>
    <x v="66"/>
    <x v="66"/>
    <s v="Harrispamela"/>
    <s v="Empire Wars"/>
    <x v="1"/>
    <x v="3"/>
    <d v="2025-01-09T00:00:00"/>
    <n v="169"/>
    <n v="0"/>
    <s v="None"/>
    <s v="Completed"/>
    <s v="Free"/>
    <n v="30"/>
    <s v="Yes"/>
    <x v="1"/>
    <x v="0"/>
    <x v="1"/>
    <x v="1"/>
  </r>
  <r>
    <x v="67"/>
    <x v="67"/>
    <s v="Enielsen"/>
    <s v="BattleZone"/>
    <x v="0"/>
    <x v="3"/>
    <d v="2025-01-12T00:00:00"/>
    <n v="79"/>
    <n v="0"/>
    <s v="None"/>
    <s v="Completed"/>
    <s v="Free"/>
    <n v="30"/>
    <s v="No"/>
    <x v="1"/>
    <x v="0"/>
    <x v="1"/>
    <x v="0"/>
  </r>
  <r>
    <x v="68"/>
    <x v="68"/>
    <s v="Nramos"/>
    <s v="Zombie Rush"/>
    <x v="2"/>
    <x v="5"/>
    <d v="2025-01-19T00:00:00"/>
    <n v="146"/>
    <n v="22.51"/>
    <s v="Battle Pass"/>
    <s v="Exited Early"/>
    <s v="Paid"/>
    <n v="25"/>
    <s v="No"/>
    <x v="1"/>
    <x v="0"/>
    <x v="0"/>
    <x v="0"/>
  </r>
  <r>
    <x v="69"/>
    <x v="69"/>
    <s v="Bruce10"/>
    <s v="Empire Wars"/>
    <x v="2"/>
    <x v="2"/>
    <d v="2025-01-20T00:00:00"/>
    <n v="144"/>
    <n v="0"/>
    <s v="None"/>
    <s v="Completed"/>
    <s v="Free"/>
    <n v="3"/>
    <s v="No"/>
    <x v="1"/>
    <x v="0"/>
    <x v="1"/>
    <x v="0"/>
  </r>
  <r>
    <x v="70"/>
    <x v="70"/>
    <s v="Riddleaaron"/>
    <s v="Clash of Realms"/>
    <x v="2"/>
    <x v="1"/>
    <d v="2025-01-16T00:00:00"/>
    <n v="166"/>
    <n v="0"/>
    <s v="None"/>
    <s v="Incomplete"/>
    <s v="Free"/>
    <n v="5"/>
    <s v="Yes"/>
    <x v="1"/>
    <x v="0"/>
    <x v="1"/>
    <x v="1"/>
  </r>
  <r>
    <x v="71"/>
    <x v="71"/>
    <s v="Matthewcasey"/>
    <s v="Empire Wars"/>
    <x v="0"/>
    <x v="3"/>
    <d v="2025-01-05T00:00:00"/>
    <n v="100"/>
    <n v="0"/>
    <s v="None"/>
    <s v="Completed"/>
    <s v="Free"/>
    <n v="7"/>
    <s v="No"/>
    <x v="1"/>
    <x v="0"/>
    <x v="1"/>
    <x v="0"/>
  </r>
  <r>
    <x v="72"/>
    <x v="72"/>
    <s v="Christine87"/>
    <s v="BattleZone"/>
    <x v="0"/>
    <x v="4"/>
    <d v="2025-01-25T00:00:00"/>
    <n v="130"/>
    <n v="0"/>
    <s v="None"/>
    <s v="Completed"/>
    <s v="Paid"/>
    <n v="8"/>
    <s v="No"/>
    <x v="1"/>
    <x v="0"/>
    <x v="1"/>
    <x v="0"/>
  </r>
  <r>
    <x v="73"/>
    <x v="73"/>
    <s v="Olopez"/>
    <s v="Zombie Rush"/>
    <x v="2"/>
    <x v="2"/>
    <d v="2025-01-06T00:00:00"/>
    <n v="157"/>
    <n v="0"/>
    <s v="None"/>
    <s v="Completed"/>
    <s v="Free"/>
    <n v="22"/>
    <s v="Yes"/>
    <x v="1"/>
    <x v="0"/>
    <x v="1"/>
    <x v="1"/>
  </r>
  <r>
    <x v="74"/>
    <x v="74"/>
    <s v="Zvargas"/>
    <s v="SpeedX"/>
    <x v="0"/>
    <x v="1"/>
    <d v="2025-01-27T00:00:00"/>
    <n v="79"/>
    <n v="0"/>
    <s v="None"/>
    <s v="Completed"/>
    <s v="Free"/>
    <n v="48"/>
    <s v="No"/>
    <x v="1"/>
    <x v="0"/>
    <x v="1"/>
    <x v="0"/>
  </r>
  <r>
    <x v="75"/>
    <x v="75"/>
    <s v="William77"/>
    <s v="Clash of Realms"/>
    <x v="1"/>
    <x v="0"/>
    <d v="2025-01-31T00:00:00"/>
    <n v="147"/>
    <n v="0"/>
    <s v="None"/>
    <s v="Completed"/>
    <s v="Free"/>
    <n v="48"/>
    <s v="No"/>
    <x v="1"/>
    <x v="0"/>
    <x v="1"/>
    <x v="0"/>
  </r>
  <r>
    <x v="76"/>
    <x v="76"/>
    <s v="Scott81"/>
    <s v="SpeedX"/>
    <x v="1"/>
    <x v="1"/>
    <d v="2025-01-26T00:00:00"/>
    <n v="80"/>
    <n v="0"/>
    <s v="None"/>
    <s v="Exited Early"/>
    <s v="Free"/>
    <n v="39"/>
    <s v="No"/>
    <x v="1"/>
    <x v="0"/>
    <x v="1"/>
    <x v="0"/>
  </r>
  <r>
    <x v="77"/>
    <x v="77"/>
    <s v="Jeansmall"/>
    <s v="Clash of Realms"/>
    <x v="0"/>
    <x v="0"/>
    <d v="2025-01-26T00:00:00"/>
    <n v="113"/>
    <n v="0"/>
    <s v="None"/>
    <s v="Completed"/>
    <s v="Free"/>
    <n v="46"/>
    <s v="No"/>
    <x v="1"/>
    <x v="0"/>
    <x v="1"/>
    <x v="0"/>
  </r>
  <r>
    <x v="78"/>
    <x v="78"/>
    <s v="Richard18"/>
    <s v="SpeedX"/>
    <x v="0"/>
    <x v="1"/>
    <d v="2025-01-06T00:00:00"/>
    <n v="117"/>
    <n v="23.32"/>
    <s v="Boosters"/>
    <s v="Completed"/>
    <s v="Paid"/>
    <n v="11"/>
    <s v="No"/>
    <x v="1"/>
    <x v="0"/>
    <x v="0"/>
    <x v="0"/>
  </r>
  <r>
    <x v="79"/>
    <x v="79"/>
    <s v="Jayroberts"/>
    <s v="BattleZone"/>
    <x v="2"/>
    <x v="4"/>
    <d v="2025-01-31T00:00:00"/>
    <n v="71"/>
    <n v="0"/>
    <s v="None"/>
    <s v="Completed"/>
    <s v="Free"/>
    <n v="37"/>
    <s v="No"/>
    <x v="1"/>
    <x v="0"/>
    <x v="1"/>
    <x v="0"/>
  </r>
  <r>
    <x v="80"/>
    <x v="80"/>
    <s v="Lpowers"/>
    <s v="Empire Wars"/>
    <x v="0"/>
    <x v="5"/>
    <d v="2025-01-23T00:00:00"/>
    <n v="132"/>
    <n v="0"/>
    <s v="None"/>
    <s v="Completed"/>
    <s v="Paid"/>
    <n v="50"/>
    <s v="No"/>
    <x v="1"/>
    <x v="0"/>
    <x v="1"/>
    <x v="0"/>
  </r>
  <r>
    <x v="81"/>
    <x v="81"/>
    <s v="Zthomas"/>
    <s v="SpeedX"/>
    <x v="0"/>
    <x v="5"/>
    <d v="2025-01-27T00:00:00"/>
    <n v="112"/>
    <n v="2.2599999999999998"/>
    <s v="Subscriptions"/>
    <s v="Completed"/>
    <s v="Paid"/>
    <n v="22"/>
    <s v="No"/>
    <x v="1"/>
    <x v="0"/>
    <x v="0"/>
    <x v="0"/>
  </r>
  <r>
    <x v="82"/>
    <x v="82"/>
    <s v="Anthony60"/>
    <s v="Zombie Rush"/>
    <x v="2"/>
    <x v="2"/>
    <d v="2025-01-03T00:00:00"/>
    <n v="115"/>
    <n v="0"/>
    <s v="None"/>
    <s v="Completed"/>
    <s v="Free"/>
    <n v="18"/>
    <s v="No"/>
    <x v="1"/>
    <x v="0"/>
    <x v="1"/>
    <x v="0"/>
  </r>
  <r>
    <x v="83"/>
    <x v="83"/>
    <s v="Carpenterjohn"/>
    <s v="SpeedX"/>
    <x v="0"/>
    <x v="0"/>
    <d v="2025-01-18T00:00:00"/>
    <n v="142"/>
    <n v="0"/>
    <s v="None"/>
    <s v="Completed"/>
    <s v="Free"/>
    <n v="11"/>
    <s v="No"/>
    <x v="1"/>
    <x v="0"/>
    <x v="1"/>
    <x v="0"/>
  </r>
  <r>
    <x v="84"/>
    <x v="84"/>
    <s v="Alexwilson"/>
    <s v="BattleZone"/>
    <x v="2"/>
    <x v="0"/>
    <d v="2025-01-18T00:00:00"/>
    <n v="154"/>
    <n v="0"/>
    <s v="None"/>
    <s v="Completed"/>
    <s v="Free"/>
    <n v="8"/>
    <s v="Yes"/>
    <x v="1"/>
    <x v="0"/>
    <x v="1"/>
    <x v="1"/>
  </r>
  <r>
    <x v="85"/>
    <x v="85"/>
    <s v="Andrewtran"/>
    <s v="Clash of Realms"/>
    <x v="2"/>
    <x v="5"/>
    <d v="2025-01-12T00:00:00"/>
    <n v="91"/>
    <n v="0"/>
    <s v="None"/>
    <s v="Completed"/>
    <s v="Free"/>
    <n v="31"/>
    <s v="No"/>
    <x v="1"/>
    <x v="0"/>
    <x v="1"/>
    <x v="0"/>
  </r>
  <r>
    <x v="86"/>
    <x v="86"/>
    <s v="Andersonwilliam"/>
    <s v="SpeedX"/>
    <x v="2"/>
    <x v="4"/>
    <d v="2025-01-14T00:00:00"/>
    <n v="102"/>
    <n v="0"/>
    <s v="None"/>
    <s v="Completed"/>
    <s v="Free"/>
    <n v="2"/>
    <s v="No"/>
    <x v="1"/>
    <x v="0"/>
    <x v="1"/>
    <x v="0"/>
  </r>
  <r>
    <x v="87"/>
    <x v="87"/>
    <s v="Hporter"/>
    <s v="Zombie Rush"/>
    <x v="0"/>
    <x v="5"/>
    <d v="2025-01-27T00:00:00"/>
    <n v="142"/>
    <n v="8.64"/>
    <s v="Boosters"/>
    <s v="Crashed"/>
    <s v="Paid"/>
    <n v="25"/>
    <s v="No"/>
    <x v="1"/>
    <x v="0"/>
    <x v="0"/>
    <x v="0"/>
  </r>
  <r>
    <x v="88"/>
    <x v="88"/>
    <s v="Vanessasmith"/>
    <s v="SpeedX"/>
    <x v="0"/>
    <x v="5"/>
    <d v="2025-01-23T00:00:00"/>
    <n v="131"/>
    <n v="0"/>
    <s v="None"/>
    <s v="Crashed"/>
    <s v="Free"/>
    <n v="3"/>
    <s v="No"/>
    <x v="1"/>
    <x v="0"/>
    <x v="1"/>
    <x v="0"/>
  </r>
  <r>
    <x v="89"/>
    <x v="89"/>
    <s v="Megan08"/>
    <s v="Empire Wars"/>
    <x v="1"/>
    <x v="3"/>
    <d v="2025-01-13T00:00:00"/>
    <n v="130"/>
    <n v="0"/>
    <s v="None"/>
    <s v="Completed"/>
    <s v="Free"/>
    <n v="49"/>
    <s v="No"/>
    <x v="1"/>
    <x v="0"/>
    <x v="1"/>
    <x v="0"/>
  </r>
  <r>
    <x v="90"/>
    <x v="90"/>
    <s v="Brandon14"/>
    <s v="Zombie Rush"/>
    <x v="2"/>
    <x v="2"/>
    <d v="2025-01-14T00:00:00"/>
    <n v="179"/>
    <n v="0"/>
    <s v="None"/>
    <s v="Completed"/>
    <s v="Paid"/>
    <n v="34"/>
    <s v="Yes"/>
    <x v="1"/>
    <x v="0"/>
    <x v="1"/>
    <x v="1"/>
  </r>
  <r>
    <x v="91"/>
    <x v="91"/>
    <s v="Sbrown"/>
    <s v="Empire Wars"/>
    <x v="0"/>
    <x v="0"/>
    <d v="2025-01-12T00:00:00"/>
    <n v="61"/>
    <n v="0"/>
    <s v="None"/>
    <s v="Completed"/>
    <s v="Free"/>
    <n v="30"/>
    <s v="No"/>
    <x v="1"/>
    <x v="0"/>
    <x v="1"/>
    <x v="0"/>
  </r>
  <r>
    <x v="92"/>
    <x v="92"/>
    <s v="Smallalice"/>
    <s v="Zombie Rush"/>
    <x v="2"/>
    <x v="1"/>
    <d v="2025-01-07T00:00:00"/>
    <n v="90"/>
    <n v="0"/>
    <s v="None"/>
    <s v="Exited Early"/>
    <s v="Free"/>
    <n v="3"/>
    <s v="No"/>
    <x v="1"/>
    <x v="0"/>
    <x v="1"/>
    <x v="0"/>
  </r>
  <r>
    <x v="93"/>
    <x v="93"/>
    <s v="Melissa44"/>
    <s v="Empire Wars"/>
    <x v="1"/>
    <x v="1"/>
    <d v="2025-01-08T00:00:00"/>
    <n v="159"/>
    <n v="0"/>
    <s v="None"/>
    <s v="Completed"/>
    <s v="Free"/>
    <n v="20"/>
    <s v="Yes"/>
    <x v="1"/>
    <x v="0"/>
    <x v="1"/>
    <x v="1"/>
  </r>
  <r>
    <x v="94"/>
    <x v="94"/>
    <s v="Tbarker"/>
    <s v="BattleZone"/>
    <x v="0"/>
    <x v="2"/>
    <d v="2025-01-25T00:00:00"/>
    <n v="81"/>
    <n v="0"/>
    <s v="None"/>
    <s v="Incomplete"/>
    <s v="Free"/>
    <n v="21"/>
    <s v="No"/>
    <x v="1"/>
    <x v="0"/>
    <x v="1"/>
    <x v="0"/>
  </r>
  <r>
    <x v="95"/>
    <x v="95"/>
    <s v="Jameswanda"/>
    <s v="BattleZone"/>
    <x v="1"/>
    <x v="4"/>
    <d v="2025-01-07T00:00:00"/>
    <n v="85"/>
    <n v="0"/>
    <s v="None"/>
    <s v="Completed"/>
    <s v="Free"/>
    <n v="28"/>
    <s v="No"/>
    <x v="1"/>
    <x v="0"/>
    <x v="1"/>
    <x v="0"/>
  </r>
  <r>
    <x v="96"/>
    <x v="96"/>
    <s v="Millersarah"/>
    <s v="SpeedX"/>
    <x v="1"/>
    <x v="5"/>
    <d v="2025-01-09T00:00:00"/>
    <n v="73"/>
    <n v="0"/>
    <s v="None"/>
    <s v="Incomplete"/>
    <s v="Free"/>
    <n v="15"/>
    <s v="No"/>
    <x v="1"/>
    <x v="0"/>
    <x v="1"/>
    <x v="0"/>
  </r>
  <r>
    <x v="97"/>
    <x v="97"/>
    <s v="Waltersnicholas"/>
    <s v="Zombie Rush"/>
    <x v="1"/>
    <x v="3"/>
    <d v="2025-01-21T00:00:00"/>
    <n v="152"/>
    <n v="0"/>
    <s v="None"/>
    <s v="Completed"/>
    <s v="Free"/>
    <n v="31"/>
    <s v="Yes"/>
    <x v="1"/>
    <x v="0"/>
    <x v="1"/>
    <x v="1"/>
  </r>
  <r>
    <x v="98"/>
    <x v="98"/>
    <s v="Hharris"/>
    <s v="BattleZone"/>
    <x v="1"/>
    <x v="0"/>
    <d v="2025-01-31T00:00:00"/>
    <n v="156"/>
    <n v="0"/>
    <s v="None"/>
    <s v="Crashed"/>
    <s v="Free"/>
    <n v="14"/>
    <s v="Yes"/>
    <x v="1"/>
    <x v="0"/>
    <x v="1"/>
    <x v="1"/>
  </r>
  <r>
    <x v="99"/>
    <x v="99"/>
    <s v="Emilyking"/>
    <s v="BattleZone"/>
    <x v="1"/>
    <x v="5"/>
    <d v="2025-01-21T00:00:00"/>
    <n v="128"/>
    <n v="0"/>
    <s v="None"/>
    <s v="Completed"/>
    <s v="Free"/>
    <n v="35"/>
    <s v="No"/>
    <x v="1"/>
    <x v="0"/>
    <x v="1"/>
    <x v="0"/>
  </r>
  <r>
    <x v="100"/>
    <x v="100"/>
    <s v="Harrisrichard"/>
    <s v="BattleZone"/>
    <x v="2"/>
    <x v="1"/>
    <d v="2025-02-08T00:00:00"/>
    <n v="179"/>
    <n v="0"/>
    <s v="None"/>
    <s v="Completed"/>
    <s v="Free"/>
    <n v="42"/>
    <s v="Yes"/>
    <x v="2"/>
    <x v="0"/>
    <x v="1"/>
    <x v="1"/>
  </r>
  <r>
    <x v="101"/>
    <x v="101"/>
    <s v="Kenneth92"/>
    <s v="Empire Wars"/>
    <x v="0"/>
    <x v="4"/>
    <d v="2025-02-14T00:00:00"/>
    <n v="157"/>
    <n v="26.84"/>
    <s v="Boosters"/>
    <s v="Completed"/>
    <s v="Paid"/>
    <n v="25"/>
    <s v="Yes"/>
    <x v="2"/>
    <x v="0"/>
    <x v="0"/>
    <x v="1"/>
  </r>
  <r>
    <x v="102"/>
    <x v="102"/>
    <s v="Michael06"/>
    <s v="Zombie Rush"/>
    <x v="0"/>
    <x v="0"/>
    <d v="2025-02-14T00:00:00"/>
    <n v="94"/>
    <n v="0"/>
    <s v="None"/>
    <s v="Crashed"/>
    <s v="Free"/>
    <n v="48"/>
    <s v="No"/>
    <x v="2"/>
    <x v="0"/>
    <x v="1"/>
    <x v="0"/>
  </r>
  <r>
    <x v="103"/>
    <x v="103"/>
    <s v="Wlawson"/>
    <s v="SpeedX"/>
    <x v="0"/>
    <x v="2"/>
    <d v="2025-02-04T00:00:00"/>
    <n v="105"/>
    <n v="0"/>
    <s v="None"/>
    <s v="Completed"/>
    <s v="Free"/>
    <n v="11"/>
    <s v="No"/>
    <x v="2"/>
    <x v="0"/>
    <x v="1"/>
    <x v="0"/>
  </r>
  <r>
    <x v="104"/>
    <x v="104"/>
    <s v="Rebekah64"/>
    <s v="Empire Wars"/>
    <x v="0"/>
    <x v="2"/>
    <d v="2025-02-06T00:00:00"/>
    <n v="96"/>
    <n v="0"/>
    <s v="None"/>
    <s v="Completed"/>
    <s v="Free"/>
    <n v="43"/>
    <s v="No"/>
    <x v="2"/>
    <x v="0"/>
    <x v="1"/>
    <x v="0"/>
  </r>
  <r>
    <x v="105"/>
    <x v="105"/>
    <s v="Odavis"/>
    <s v="Clash of Realms"/>
    <x v="1"/>
    <x v="2"/>
    <d v="2025-02-08T00:00:00"/>
    <n v="165"/>
    <n v="0"/>
    <s v="None"/>
    <s v="Completed"/>
    <s v="Free"/>
    <n v="23"/>
    <s v="Yes"/>
    <x v="2"/>
    <x v="0"/>
    <x v="1"/>
    <x v="1"/>
  </r>
  <r>
    <x v="106"/>
    <x v="106"/>
    <s v="Jenniferwilcox"/>
    <s v="SpeedX"/>
    <x v="0"/>
    <x v="0"/>
    <d v="2025-02-14T00:00:00"/>
    <n v="154"/>
    <n v="0"/>
    <s v="None"/>
    <s v="Completed"/>
    <s v="Free"/>
    <n v="44"/>
    <s v="Yes"/>
    <x v="2"/>
    <x v="0"/>
    <x v="1"/>
    <x v="1"/>
  </r>
  <r>
    <x v="107"/>
    <x v="107"/>
    <s v="Georgejones"/>
    <s v="Empire Wars"/>
    <x v="1"/>
    <x v="2"/>
    <d v="2025-02-01T00:00:00"/>
    <n v="134"/>
    <n v="0"/>
    <s v="None"/>
    <s v="Completed"/>
    <s v="Free"/>
    <n v="41"/>
    <s v="No"/>
    <x v="2"/>
    <x v="0"/>
    <x v="1"/>
    <x v="0"/>
  </r>
  <r>
    <x v="108"/>
    <x v="108"/>
    <s v="Vmooney"/>
    <s v="BattleZone"/>
    <x v="2"/>
    <x v="4"/>
    <d v="2025-02-04T00:00:00"/>
    <n v="67"/>
    <n v="0"/>
    <s v="None"/>
    <s v="Exited Early"/>
    <s v="Free"/>
    <n v="16"/>
    <s v="No"/>
    <x v="2"/>
    <x v="0"/>
    <x v="1"/>
    <x v="0"/>
  </r>
  <r>
    <x v="109"/>
    <x v="109"/>
    <s v="Smithcarrie"/>
    <s v="Zombie Rush"/>
    <x v="0"/>
    <x v="5"/>
    <d v="2025-02-05T00:00:00"/>
    <n v="85"/>
    <n v="0"/>
    <s v="None"/>
    <s v="Incomplete"/>
    <s v="Paid"/>
    <n v="12"/>
    <s v="No"/>
    <x v="2"/>
    <x v="0"/>
    <x v="1"/>
    <x v="0"/>
  </r>
  <r>
    <x v="110"/>
    <x v="110"/>
    <s v="Nathan33"/>
    <s v="BattleZone"/>
    <x v="2"/>
    <x v="3"/>
    <d v="2025-02-04T00:00:00"/>
    <n v="115"/>
    <n v="22.35"/>
    <s v="Subscriptions"/>
    <s v="Completed"/>
    <s v="Paid"/>
    <n v="43"/>
    <s v="No"/>
    <x v="2"/>
    <x v="0"/>
    <x v="0"/>
    <x v="0"/>
  </r>
  <r>
    <x v="111"/>
    <x v="111"/>
    <s v="Wallacedebra"/>
    <s v="BattleZone"/>
    <x v="1"/>
    <x v="3"/>
    <d v="2025-02-06T00:00:00"/>
    <n v="94"/>
    <n v="0"/>
    <s v="None"/>
    <s v="Completed"/>
    <s v="Free"/>
    <n v="43"/>
    <s v="No"/>
    <x v="2"/>
    <x v="0"/>
    <x v="1"/>
    <x v="0"/>
  </r>
  <r>
    <x v="112"/>
    <x v="112"/>
    <s v="Lindsay74"/>
    <s v="SpeedX"/>
    <x v="1"/>
    <x v="4"/>
    <d v="2025-02-04T00:00:00"/>
    <n v="128"/>
    <n v="0"/>
    <s v="None"/>
    <s v="Incomplete"/>
    <s v="Free"/>
    <n v="40"/>
    <s v="No"/>
    <x v="2"/>
    <x v="0"/>
    <x v="1"/>
    <x v="0"/>
  </r>
  <r>
    <x v="113"/>
    <x v="113"/>
    <s v="Allenvictor"/>
    <s v="SpeedX"/>
    <x v="0"/>
    <x v="3"/>
    <d v="2025-02-20T00:00:00"/>
    <n v="142"/>
    <n v="0"/>
    <s v="None"/>
    <s v="Completed"/>
    <s v="Free"/>
    <n v="32"/>
    <s v="No"/>
    <x v="2"/>
    <x v="0"/>
    <x v="1"/>
    <x v="0"/>
  </r>
  <r>
    <x v="114"/>
    <x v="114"/>
    <s v="Melanie00"/>
    <s v="SpeedX"/>
    <x v="2"/>
    <x v="0"/>
    <d v="2025-02-24T00:00:00"/>
    <n v="158"/>
    <n v="0"/>
    <s v="None"/>
    <s v="Completed"/>
    <s v="Paid"/>
    <n v="17"/>
    <s v="Yes"/>
    <x v="2"/>
    <x v="0"/>
    <x v="1"/>
    <x v="1"/>
  </r>
  <r>
    <x v="115"/>
    <x v="115"/>
    <s v="Richardward"/>
    <s v="Zombie Rush"/>
    <x v="1"/>
    <x v="4"/>
    <d v="2025-02-22T00:00:00"/>
    <n v="122"/>
    <n v="0"/>
    <s v="None"/>
    <s v="Completed"/>
    <s v="Free"/>
    <n v="9"/>
    <s v="No"/>
    <x v="2"/>
    <x v="0"/>
    <x v="1"/>
    <x v="0"/>
  </r>
  <r>
    <x v="116"/>
    <x v="116"/>
    <s v="Ecooley"/>
    <s v="BattleZone"/>
    <x v="0"/>
    <x v="1"/>
    <d v="2025-02-25T00:00:00"/>
    <n v="150"/>
    <n v="0"/>
    <s v="None"/>
    <s v="Completed"/>
    <s v="Free"/>
    <n v="46"/>
    <s v="No"/>
    <x v="2"/>
    <x v="0"/>
    <x v="1"/>
    <x v="0"/>
  </r>
  <r>
    <x v="117"/>
    <x v="117"/>
    <s v="Sheila89"/>
    <s v="BattleZone"/>
    <x v="1"/>
    <x v="0"/>
    <d v="2025-02-20T00:00:00"/>
    <n v="101"/>
    <n v="0"/>
    <s v="None"/>
    <s v="Incomplete"/>
    <s v="Free"/>
    <n v="5"/>
    <s v="No"/>
    <x v="2"/>
    <x v="0"/>
    <x v="1"/>
    <x v="0"/>
  </r>
  <r>
    <x v="118"/>
    <x v="118"/>
    <s v="Pkim"/>
    <s v="Empire Wars"/>
    <x v="0"/>
    <x v="0"/>
    <d v="2025-02-05T00:00:00"/>
    <n v="133"/>
    <n v="0"/>
    <s v="None"/>
    <s v="Completed"/>
    <s v="Free"/>
    <n v="26"/>
    <s v="No"/>
    <x v="2"/>
    <x v="0"/>
    <x v="1"/>
    <x v="0"/>
  </r>
  <r>
    <x v="119"/>
    <x v="119"/>
    <s v="Johnsonandrea"/>
    <s v="SpeedX"/>
    <x v="2"/>
    <x v="5"/>
    <d v="2025-02-12T00:00:00"/>
    <n v="166"/>
    <n v="0"/>
    <s v="None"/>
    <s v="Completed"/>
    <s v="Free"/>
    <n v="43"/>
    <s v="Yes"/>
    <x v="2"/>
    <x v="0"/>
    <x v="1"/>
    <x v="1"/>
  </r>
  <r>
    <x v="120"/>
    <x v="120"/>
    <s v="Gsmith"/>
    <s v="Empire Wars"/>
    <x v="2"/>
    <x v="4"/>
    <d v="2025-02-12T00:00:00"/>
    <n v="79"/>
    <n v="0"/>
    <s v="None"/>
    <s v="Completed"/>
    <s v="Free"/>
    <n v="44"/>
    <s v="No"/>
    <x v="2"/>
    <x v="0"/>
    <x v="1"/>
    <x v="0"/>
  </r>
  <r>
    <x v="121"/>
    <x v="121"/>
    <s v="Okoch"/>
    <s v="Clash of Realms"/>
    <x v="1"/>
    <x v="4"/>
    <d v="2025-02-28T00:00:00"/>
    <n v="84"/>
    <n v="0"/>
    <s v="None"/>
    <s v="Completed"/>
    <s v="Free"/>
    <n v="15"/>
    <s v="No"/>
    <x v="2"/>
    <x v="0"/>
    <x v="1"/>
    <x v="0"/>
  </r>
  <r>
    <x v="122"/>
    <x v="122"/>
    <s v="Shannonevans"/>
    <s v="SpeedX"/>
    <x v="2"/>
    <x v="1"/>
    <d v="2025-02-27T00:00:00"/>
    <n v="138"/>
    <n v="27.01"/>
    <s v="Boosters"/>
    <s v="Completed"/>
    <s v="Paid"/>
    <n v="18"/>
    <s v="No"/>
    <x v="2"/>
    <x v="0"/>
    <x v="0"/>
    <x v="0"/>
  </r>
  <r>
    <x v="123"/>
    <x v="123"/>
    <s v="Thomas01"/>
    <s v="Empire Wars"/>
    <x v="2"/>
    <x v="2"/>
    <d v="2025-02-13T00:00:00"/>
    <n v="154"/>
    <n v="0"/>
    <s v="None"/>
    <s v="Completed"/>
    <s v="Free"/>
    <n v="27"/>
    <s v="Yes"/>
    <x v="2"/>
    <x v="0"/>
    <x v="1"/>
    <x v="1"/>
  </r>
  <r>
    <x v="124"/>
    <x v="124"/>
    <s v="Hoffmandaniel"/>
    <s v="SpeedX"/>
    <x v="2"/>
    <x v="1"/>
    <d v="2025-02-08T00:00:00"/>
    <n v="144"/>
    <n v="0"/>
    <s v="None"/>
    <s v="Incomplete"/>
    <s v="Free"/>
    <n v="36"/>
    <s v="No"/>
    <x v="2"/>
    <x v="0"/>
    <x v="1"/>
    <x v="0"/>
  </r>
  <r>
    <x v="125"/>
    <x v="125"/>
    <s v="Melissaphillips"/>
    <s v="BattleZone"/>
    <x v="0"/>
    <x v="2"/>
    <d v="2025-02-13T00:00:00"/>
    <n v="111"/>
    <n v="46.08"/>
    <s v="Boosters"/>
    <s v="Crashed"/>
    <s v="Paid"/>
    <n v="15"/>
    <s v="Yes"/>
    <x v="2"/>
    <x v="0"/>
    <x v="0"/>
    <x v="1"/>
  </r>
  <r>
    <x v="126"/>
    <x v="126"/>
    <s v="Armstrongmary"/>
    <s v="Clash of Realms"/>
    <x v="2"/>
    <x v="3"/>
    <d v="2025-02-12T00:00:00"/>
    <n v="111"/>
    <n v="0"/>
    <s v="None"/>
    <s v="Completed"/>
    <s v="Free"/>
    <n v="26"/>
    <s v="No"/>
    <x v="2"/>
    <x v="0"/>
    <x v="1"/>
    <x v="0"/>
  </r>
  <r>
    <x v="127"/>
    <x v="127"/>
    <s v="Schultzkatherine"/>
    <s v="BattleZone"/>
    <x v="1"/>
    <x v="4"/>
    <d v="2025-02-26T00:00:00"/>
    <n v="128"/>
    <n v="0"/>
    <s v="None"/>
    <s v="Crashed"/>
    <s v="Free"/>
    <n v="36"/>
    <s v="No"/>
    <x v="2"/>
    <x v="0"/>
    <x v="1"/>
    <x v="0"/>
  </r>
  <r>
    <x v="128"/>
    <x v="128"/>
    <s v="Aprince"/>
    <s v="SpeedX"/>
    <x v="1"/>
    <x v="1"/>
    <d v="2025-02-15T00:00:00"/>
    <n v="129"/>
    <n v="0"/>
    <s v="None"/>
    <s v="Incomplete"/>
    <s v="Free"/>
    <n v="37"/>
    <s v="No"/>
    <x v="2"/>
    <x v="0"/>
    <x v="1"/>
    <x v="0"/>
  </r>
  <r>
    <x v="129"/>
    <x v="129"/>
    <s v="Steven30"/>
    <s v="Empire Wars"/>
    <x v="0"/>
    <x v="4"/>
    <d v="2025-02-15T00:00:00"/>
    <n v="166"/>
    <n v="0"/>
    <s v="None"/>
    <s v="Completed"/>
    <s v="Free"/>
    <n v="39"/>
    <s v="Yes"/>
    <x v="2"/>
    <x v="0"/>
    <x v="1"/>
    <x v="1"/>
  </r>
  <r>
    <x v="130"/>
    <x v="130"/>
    <s v="Iyoung"/>
    <s v="SpeedX"/>
    <x v="1"/>
    <x v="0"/>
    <d v="2025-02-26T00:00:00"/>
    <n v="67"/>
    <n v="0"/>
    <s v="None"/>
    <s v="Exited Early"/>
    <s v="Free"/>
    <n v="48"/>
    <s v="No"/>
    <x v="2"/>
    <x v="0"/>
    <x v="1"/>
    <x v="0"/>
  </r>
  <r>
    <x v="131"/>
    <x v="131"/>
    <s v="Wrightjulia"/>
    <s v="Clash of Realms"/>
    <x v="0"/>
    <x v="3"/>
    <d v="2025-02-27T00:00:00"/>
    <n v="117"/>
    <n v="0"/>
    <s v="None"/>
    <s v="Exited Early"/>
    <s v="Free"/>
    <n v="21"/>
    <s v="No"/>
    <x v="2"/>
    <x v="0"/>
    <x v="1"/>
    <x v="0"/>
  </r>
  <r>
    <x v="132"/>
    <x v="132"/>
    <s v="Kelly45"/>
    <s v="Empire Wars"/>
    <x v="0"/>
    <x v="2"/>
    <d v="2025-02-22T00:00:00"/>
    <n v="80"/>
    <n v="42.33"/>
    <s v="Boosters"/>
    <s v="Completed"/>
    <s v="Paid"/>
    <n v="23"/>
    <s v="Yes"/>
    <x v="2"/>
    <x v="0"/>
    <x v="0"/>
    <x v="1"/>
  </r>
  <r>
    <x v="133"/>
    <x v="133"/>
    <s v="Coxlauren"/>
    <s v="BattleZone"/>
    <x v="0"/>
    <x v="2"/>
    <d v="2025-02-15T00:00:00"/>
    <n v="66"/>
    <n v="0"/>
    <s v="None"/>
    <s v="Incomplete"/>
    <s v="Paid"/>
    <n v="38"/>
    <s v="No"/>
    <x v="2"/>
    <x v="0"/>
    <x v="1"/>
    <x v="0"/>
  </r>
  <r>
    <x v="134"/>
    <x v="134"/>
    <s v="Lisacoffey"/>
    <s v="Zombie Rush"/>
    <x v="2"/>
    <x v="0"/>
    <d v="2025-02-02T00:00:00"/>
    <n v="63"/>
    <n v="0"/>
    <s v="None"/>
    <s v="Crashed"/>
    <s v="Free"/>
    <n v="4"/>
    <s v="No"/>
    <x v="2"/>
    <x v="0"/>
    <x v="1"/>
    <x v="0"/>
  </r>
  <r>
    <x v="135"/>
    <x v="135"/>
    <s v="Sara36"/>
    <s v="Zombie Rush"/>
    <x v="2"/>
    <x v="0"/>
    <d v="2025-02-01T00:00:00"/>
    <n v="84"/>
    <n v="23.18"/>
    <s v="Subscriptions"/>
    <s v="Completed"/>
    <s v="Paid"/>
    <n v="2"/>
    <s v="No"/>
    <x v="2"/>
    <x v="0"/>
    <x v="0"/>
    <x v="0"/>
  </r>
  <r>
    <x v="136"/>
    <x v="136"/>
    <s v="Walkernathan"/>
    <s v="Empire Wars"/>
    <x v="1"/>
    <x v="5"/>
    <d v="2025-02-02T00:00:00"/>
    <n v="91"/>
    <n v="0"/>
    <s v="None"/>
    <s v="Completed"/>
    <s v="Free"/>
    <n v="22"/>
    <s v="No"/>
    <x v="2"/>
    <x v="0"/>
    <x v="1"/>
    <x v="0"/>
  </r>
  <r>
    <x v="137"/>
    <x v="137"/>
    <s v="Leslie88"/>
    <s v="BattleZone"/>
    <x v="2"/>
    <x v="3"/>
    <d v="2025-02-20T00:00:00"/>
    <n v="127"/>
    <n v="40.21"/>
    <s v="Battle Pass"/>
    <s v="Completed"/>
    <s v="Paid"/>
    <n v="38"/>
    <s v="Yes"/>
    <x v="2"/>
    <x v="0"/>
    <x v="0"/>
    <x v="1"/>
  </r>
  <r>
    <x v="138"/>
    <x v="138"/>
    <s v="John69"/>
    <s v="SpeedX"/>
    <x v="1"/>
    <x v="3"/>
    <d v="2025-02-20T00:00:00"/>
    <n v="112"/>
    <n v="13.89"/>
    <s v="Battle Pass"/>
    <s v="Crashed"/>
    <s v="Paid"/>
    <n v="25"/>
    <s v="No"/>
    <x v="2"/>
    <x v="0"/>
    <x v="0"/>
    <x v="0"/>
  </r>
  <r>
    <x v="139"/>
    <x v="139"/>
    <s v="Floresnatalie"/>
    <s v="Clash of Realms"/>
    <x v="1"/>
    <x v="3"/>
    <d v="2025-02-16T00:00:00"/>
    <n v="80"/>
    <n v="0"/>
    <s v="None"/>
    <s v="Completed"/>
    <s v="Free"/>
    <n v="16"/>
    <s v="No"/>
    <x v="2"/>
    <x v="0"/>
    <x v="1"/>
    <x v="0"/>
  </r>
  <r>
    <x v="140"/>
    <x v="140"/>
    <s v="Nicole11"/>
    <s v="Empire Wars"/>
    <x v="0"/>
    <x v="0"/>
    <d v="2025-02-20T00:00:00"/>
    <n v="70"/>
    <n v="19.62"/>
    <s v="Skins"/>
    <s v="Completed"/>
    <s v="Paid"/>
    <n v="47"/>
    <s v="No"/>
    <x v="2"/>
    <x v="0"/>
    <x v="0"/>
    <x v="0"/>
  </r>
  <r>
    <x v="141"/>
    <x v="141"/>
    <s v="Ogarcia"/>
    <s v="SpeedX"/>
    <x v="2"/>
    <x v="1"/>
    <d v="2025-02-20T00:00:00"/>
    <n v="178"/>
    <n v="38.369999999999997"/>
    <s v="Battle Pass"/>
    <s v="Completed"/>
    <s v="Paid"/>
    <n v="32"/>
    <s v="Yes"/>
    <x v="2"/>
    <x v="0"/>
    <x v="0"/>
    <x v="1"/>
  </r>
  <r>
    <x v="142"/>
    <x v="142"/>
    <s v="Scott72"/>
    <s v="SpeedX"/>
    <x v="1"/>
    <x v="3"/>
    <d v="2025-03-22T00:00:00"/>
    <n v="63"/>
    <n v="0"/>
    <s v="None"/>
    <s v="Completed"/>
    <s v="Free"/>
    <n v="4"/>
    <s v="No"/>
    <x v="3"/>
    <x v="0"/>
    <x v="1"/>
    <x v="0"/>
  </r>
  <r>
    <x v="143"/>
    <x v="143"/>
    <s v="Xjoseph"/>
    <s v="SpeedX"/>
    <x v="0"/>
    <x v="5"/>
    <d v="2025-03-08T00:00:00"/>
    <n v="100"/>
    <n v="0"/>
    <s v="None"/>
    <s v="Completed"/>
    <s v="Free"/>
    <n v="36"/>
    <s v="No"/>
    <x v="3"/>
    <x v="0"/>
    <x v="1"/>
    <x v="0"/>
  </r>
  <r>
    <x v="144"/>
    <x v="144"/>
    <s v="Lesliemiller"/>
    <s v="Empire Wars"/>
    <x v="1"/>
    <x v="4"/>
    <d v="2025-03-03T00:00:00"/>
    <n v="151"/>
    <n v="0"/>
    <s v="None"/>
    <s v="Completed"/>
    <s v="Free"/>
    <n v="47"/>
    <s v="Yes"/>
    <x v="3"/>
    <x v="0"/>
    <x v="1"/>
    <x v="1"/>
  </r>
  <r>
    <x v="145"/>
    <x v="145"/>
    <s v="Rcraig"/>
    <s v="SpeedX"/>
    <x v="1"/>
    <x v="4"/>
    <d v="2025-03-24T00:00:00"/>
    <n v="121"/>
    <n v="7.28"/>
    <s v="Boosters"/>
    <s v="Completed"/>
    <s v="Paid"/>
    <n v="34"/>
    <s v="No"/>
    <x v="3"/>
    <x v="0"/>
    <x v="0"/>
    <x v="0"/>
  </r>
  <r>
    <x v="146"/>
    <x v="146"/>
    <s v="Bhenson"/>
    <s v="Clash of Realms"/>
    <x v="0"/>
    <x v="1"/>
    <d v="2025-03-09T00:00:00"/>
    <n v="64"/>
    <n v="0"/>
    <s v="None"/>
    <s v="Crashed"/>
    <s v="Free"/>
    <n v="33"/>
    <s v="No"/>
    <x v="3"/>
    <x v="0"/>
    <x v="1"/>
    <x v="0"/>
  </r>
  <r>
    <x v="147"/>
    <x v="147"/>
    <s v="Erica07"/>
    <s v="Empire Wars"/>
    <x v="1"/>
    <x v="2"/>
    <d v="2025-03-25T00:00:00"/>
    <n v="96"/>
    <n v="0"/>
    <s v="None"/>
    <s v="Completed"/>
    <s v="Paid"/>
    <n v="17"/>
    <s v="No"/>
    <x v="3"/>
    <x v="0"/>
    <x v="1"/>
    <x v="0"/>
  </r>
  <r>
    <x v="148"/>
    <x v="148"/>
    <s v="Neallisa"/>
    <s v="Zombie Rush"/>
    <x v="0"/>
    <x v="2"/>
    <d v="2025-03-01T00:00:00"/>
    <n v="149"/>
    <n v="5.05"/>
    <s v="Boosters"/>
    <s v="Completed"/>
    <s v="Paid"/>
    <n v="44"/>
    <s v="No"/>
    <x v="3"/>
    <x v="0"/>
    <x v="0"/>
    <x v="0"/>
  </r>
  <r>
    <x v="149"/>
    <x v="149"/>
    <s v="Sonya77"/>
    <s v="SpeedX"/>
    <x v="1"/>
    <x v="5"/>
    <d v="2025-03-13T00:00:00"/>
    <n v="140"/>
    <n v="0"/>
    <s v="None"/>
    <s v="Completed"/>
    <s v="Free"/>
    <n v="26"/>
    <s v="No"/>
    <x v="3"/>
    <x v="0"/>
    <x v="1"/>
    <x v="0"/>
  </r>
  <r>
    <x v="150"/>
    <x v="150"/>
    <s v="Leahlee"/>
    <s v="Clash of Realms"/>
    <x v="1"/>
    <x v="3"/>
    <d v="2025-03-05T00:00:00"/>
    <n v="149"/>
    <n v="0"/>
    <s v="None"/>
    <s v="Completed"/>
    <s v="Free"/>
    <n v="48"/>
    <s v="No"/>
    <x v="3"/>
    <x v="0"/>
    <x v="1"/>
    <x v="0"/>
  </r>
  <r>
    <x v="151"/>
    <x v="151"/>
    <s v="Fforbes"/>
    <s v="BattleZone"/>
    <x v="1"/>
    <x v="4"/>
    <d v="2025-03-11T00:00:00"/>
    <n v="136"/>
    <n v="0"/>
    <s v="None"/>
    <s v="Completed"/>
    <s v="Free"/>
    <n v="11"/>
    <s v="No"/>
    <x v="3"/>
    <x v="0"/>
    <x v="1"/>
    <x v="0"/>
  </r>
  <r>
    <x v="152"/>
    <x v="152"/>
    <s v="Steven19"/>
    <s v="Empire Wars"/>
    <x v="0"/>
    <x v="2"/>
    <d v="2025-03-09T00:00:00"/>
    <n v="172"/>
    <n v="0"/>
    <s v="None"/>
    <s v="Completed"/>
    <s v="Free"/>
    <n v="15"/>
    <s v="Yes"/>
    <x v="3"/>
    <x v="0"/>
    <x v="1"/>
    <x v="1"/>
  </r>
  <r>
    <x v="153"/>
    <x v="153"/>
    <s v="Charlesjohnson"/>
    <s v="SpeedX"/>
    <x v="0"/>
    <x v="4"/>
    <d v="2025-03-23T00:00:00"/>
    <n v="153"/>
    <n v="0"/>
    <s v="None"/>
    <s v="Completed"/>
    <s v="Paid"/>
    <n v="44"/>
    <s v="Yes"/>
    <x v="3"/>
    <x v="0"/>
    <x v="1"/>
    <x v="1"/>
  </r>
  <r>
    <x v="154"/>
    <x v="154"/>
    <s v="Hannah41"/>
    <s v="SpeedX"/>
    <x v="1"/>
    <x v="3"/>
    <d v="2025-03-27T00:00:00"/>
    <n v="112"/>
    <n v="0"/>
    <s v="None"/>
    <s v="Completed"/>
    <s v="Free"/>
    <n v="21"/>
    <s v="No"/>
    <x v="3"/>
    <x v="0"/>
    <x v="1"/>
    <x v="0"/>
  </r>
  <r>
    <x v="155"/>
    <x v="155"/>
    <s v="Tlloyd"/>
    <s v="Zombie Rush"/>
    <x v="1"/>
    <x v="5"/>
    <d v="2025-03-23T00:00:00"/>
    <n v="144"/>
    <n v="0"/>
    <s v="None"/>
    <s v="Completed"/>
    <s v="Free"/>
    <n v="35"/>
    <s v="No"/>
    <x v="3"/>
    <x v="0"/>
    <x v="1"/>
    <x v="0"/>
  </r>
  <r>
    <x v="156"/>
    <x v="67"/>
    <s v="Tgill"/>
    <s v="BattleZone"/>
    <x v="2"/>
    <x v="5"/>
    <d v="2025-03-19T00:00:00"/>
    <n v="132"/>
    <n v="28.89"/>
    <s v="Battle Pass"/>
    <s v="Completed"/>
    <s v="Paid"/>
    <n v="26"/>
    <s v="No"/>
    <x v="3"/>
    <x v="0"/>
    <x v="0"/>
    <x v="0"/>
  </r>
  <r>
    <x v="157"/>
    <x v="156"/>
    <s v="Bherrera"/>
    <s v="Zombie Rush"/>
    <x v="0"/>
    <x v="1"/>
    <d v="2025-03-08T00:00:00"/>
    <n v="63"/>
    <n v="0"/>
    <s v="None"/>
    <s v="Completed"/>
    <s v="Free"/>
    <n v="25"/>
    <s v="No"/>
    <x v="3"/>
    <x v="0"/>
    <x v="1"/>
    <x v="0"/>
  </r>
  <r>
    <x v="158"/>
    <x v="157"/>
    <s v="Jack75"/>
    <s v="BattleZone"/>
    <x v="2"/>
    <x v="5"/>
    <d v="2025-03-03T00:00:00"/>
    <n v="100"/>
    <n v="0"/>
    <s v="None"/>
    <s v="Completed"/>
    <s v="Free"/>
    <n v="50"/>
    <s v="No"/>
    <x v="3"/>
    <x v="0"/>
    <x v="1"/>
    <x v="0"/>
  </r>
  <r>
    <x v="159"/>
    <x v="158"/>
    <s v="Qwatson"/>
    <s v="SpeedX"/>
    <x v="2"/>
    <x v="2"/>
    <d v="2025-03-15T00:00:00"/>
    <n v="143"/>
    <n v="0"/>
    <s v="None"/>
    <s v="Exited Early"/>
    <s v="Free"/>
    <n v="10"/>
    <s v="No"/>
    <x v="3"/>
    <x v="0"/>
    <x v="1"/>
    <x v="0"/>
  </r>
  <r>
    <x v="160"/>
    <x v="159"/>
    <s v="Sroach"/>
    <s v="Empire Wars"/>
    <x v="2"/>
    <x v="1"/>
    <d v="2025-03-22T00:00:00"/>
    <n v="173"/>
    <n v="0"/>
    <s v="None"/>
    <s v="Completed"/>
    <s v="Free"/>
    <n v="37"/>
    <s v="Yes"/>
    <x v="3"/>
    <x v="0"/>
    <x v="1"/>
    <x v="1"/>
  </r>
  <r>
    <x v="161"/>
    <x v="143"/>
    <s v="Amydunn"/>
    <s v="Empire Wars"/>
    <x v="2"/>
    <x v="4"/>
    <d v="2025-03-31T00:00:00"/>
    <n v="153"/>
    <n v="0"/>
    <s v="None"/>
    <s v="Crashed"/>
    <s v="Free"/>
    <n v="25"/>
    <s v="Yes"/>
    <x v="3"/>
    <x v="0"/>
    <x v="1"/>
    <x v="1"/>
  </r>
  <r>
    <x v="162"/>
    <x v="160"/>
    <s v="Lisajames"/>
    <s v="Empire Wars"/>
    <x v="0"/>
    <x v="5"/>
    <d v="2025-03-23T00:00:00"/>
    <n v="80"/>
    <n v="0"/>
    <s v="None"/>
    <s v="Incomplete"/>
    <s v="Free"/>
    <n v="3"/>
    <s v="No"/>
    <x v="3"/>
    <x v="0"/>
    <x v="1"/>
    <x v="0"/>
  </r>
  <r>
    <x v="163"/>
    <x v="161"/>
    <s v="Davidsingleton"/>
    <s v="BattleZone"/>
    <x v="0"/>
    <x v="4"/>
    <d v="2025-03-05T00:00:00"/>
    <n v="118"/>
    <n v="46.55"/>
    <s v="Battle Pass"/>
    <s v="Completed"/>
    <s v="Paid"/>
    <n v="45"/>
    <s v="Yes"/>
    <x v="3"/>
    <x v="0"/>
    <x v="0"/>
    <x v="1"/>
  </r>
  <r>
    <x v="164"/>
    <x v="162"/>
    <s v="Adam91"/>
    <s v="BattleZone"/>
    <x v="1"/>
    <x v="1"/>
    <d v="2025-03-22T00:00:00"/>
    <n v="139"/>
    <n v="0"/>
    <s v="None"/>
    <s v="Completed"/>
    <s v="Free"/>
    <n v="26"/>
    <s v="No"/>
    <x v="3"/>
    <x v="0"/>
    <x v="1"/>
    <x v="0"/>
  </r>
  <r>
    <x v="165"/>
    <x v="72"/>
    <s v="Whitemary"/>
    <s v="SpeedX"/>
    <x v="1"/>
    <x v="2"/>
    <d v="2025-03-09T00:00:00"/>
    <n v="82"/>
    <n v="0"/>
    <s v="None"/>
    <s v="Exited Early"/>
    <s v="Free"/>
    <n v="17"/>
    <s v="No"/>
    <x v="3"/>
    <x v="0"/>
    <x v="1"/>
    <x v="0"/>
  </r>
  <r>
    <x v="166"/>
    <x v="163"/>
    <s v="Douglas13"/>
    <s v="Zombie Rush"/>
    <x v="1"/>
    <x v="5"/>
    <d v="2025-03-27T00:00:00"/>
    <n v="90"/>
    <n v="33.43"/>
    <s v="Boosters"/>
    <s v="Exited Early"/>
    <s v="Paid"/>
    <n v="50"/>
    <s v="No"/>
    <x v="3"/>
    <x v="0"/>
    <x v="0"/>
    <x v="0"/>
  </r>
  <r>
    <x v="167"/>
    <x v="164"/>
    <s v="Soliskyle"/>
    <s v="SpeedX"/>
    <x v="0"/>
    <x v="1"/>
    <d v="2025-03-23T00:00:00"/>
    <n v="88"/>
    <n v="0"/>
    <s v="None"/>
    <s v="Completed"/>
    <s v="Free"/>
    <n v="2"/>
    <s v="No"/>
    <x v="3"/>
    <x v="0"/>
    <x v="1"/>
    <x v="0"/>
  </r>
  <r>
    <x v="168"/>
    <x v="165"/>
    <s v="Tdavis"/>
    <s v="Clash of Realms"/>
    <x v="0"/>
    <x v="5"/>
    <d v="2025-03-17T00:00:00"/>
    <n v="167"/>
    <n v="0"/>
    <s v="None"/>
    <s v="Exited Early"/>
    <s v="Paid"/>
    <n v="28"/>
    <s v="Yes"/>
    <x v="3"/>
    <x v="0"/>
    <x v="1"/>
    <x v="1"/>
  </r>
  <r>
    <x v="169"/>
    <x v="166"/>
    <s v="Sheilawatkins"/>
    <s v="BattleZone"/>
    <x v="2"/>
    <x v="0"/>
    <d v="2025-03-22T00:00:00"/>
    <n v="141"/>
    <n v="0"/>
    <s v="None"/>
    <s v="Completed"/>
    <s v="Free"/>
    <n v="17"/>
    <s v="No"/>
    <x v="3"/>
    <x v="0"/>
    <x v="1"/>
    <x v="0"/>
  </r>
  <r>
    <x v="170"/>
    <x v="167"/>
    <s v="Tonyachristensen"/>
    <s v="Empire Wars"/>
    <x v="2"/>
    <x v="0"/>
    <d v="2025-03-04T00:00:00"/>
    <n v="154"/>
    <n v="0"/>
    <s v="None"/>
    <s v="Completed"/>
    <s v="Free"/>
    <n v="26"/>
    <s v="Yes"/>
    <x v="3"/>
    <x v="0"/>
    <x v="1"/>
    <x v="1"/>
  </r>
  <r>
    <x v="171"/>
    <x v="168"/>
    <s v="Huntlawrence"/>
    <s v="Clash of Realms"/>
    <x v="0"/>
    <x v="2"/>
    <d v="2025-03-06T00:00:00"/>
    <n v="144"/>
    <n v="0"/>
    <s v="None"/>
    <s v="Exited Early"/>
    <s v="Free"/>
    <n v="9"/>
    <s v="No"/>
    <x v="3"/>
    <x v="0"/>
    <x v="1"/>
    <x v="0"/>
  </r>
  <r>
    <x v="172"/>
    <x v="169"/>
    <s v="Jmcknight"/>
    <s v="Empire Wars"/>
    <x v="2"/>
    <x v="5"/>
    <d v="2025-03-01T00:00:00"/>
    <n v="136"/>
    <n v="0"/>
    <s v="None"/>
    <s v="Completed"/>
    <s v="Free"/>
    <n v="50"/>
    <s v="No"/>
    <x v="3"/>
    <x v="0"/>
    <x v="1"/>
    <x v="0"/>
  </r>
  <r>
    <x v="173"/>
    <x v="170"/>
    <s v="Boonekristen"/>
    <s v="Zombie Rush"/>
    <x v="0"/>
    <x v="2"/>
    <d v="2025-03-15T00:00:00"/>
    <n v="127"/>
    <n v="0"/>
    <s v="None"/>
    <s v="Completed"/>
    <s v="Free"/>
    <n v="13"/>
    <s v="No"/>
    <x v="3"/>
    <x v="0"/>
    <x v="1"/>
    <x v="0"/>
  </r>
  <r>
    <x v="174"/>
    <x v="171"/>
    <s v="Mmorgan"/>
    <s v="SpeedX"/>
    <x v="1"/>
    <x v="3"/>
    <d v="2025-03-05T00:00:00"/>
    <n v="91"/>
    <n v="45.51"/>
    <s v="Skins"/>
    <s v="Completed"/>
    <s v="Paid"/>
    <n v="8"/>
    <s v="Yes"/>
    <x v="3"/>
    <x v="0"/>
    <x v="0"/>
    <x v="1"/>
  </r>
  <r>
    <x v="175"/>
    <x v="172"/>
    <s v="Donovantrevor"/>
    <s v="Zombie Rush"/>
    <x v="1"/>
    <x v="3"/>
    <d v="2025-03-22T00:00:00"/>
    <n v="71"/>
    <n v="0"/>
    <s v="None"/>
    <s v="Completed"/>
    <s v="Free"/>
    <n v="38"/>
    <s v="No"/>
    <x v="3"/>
    <x v="0"/>
    <x v="1"/>
    <x v="0"/>
  </r>
  <r>
    <x v="176"/>
    <x v="173"/>
    <s v="Melanie33"/>
    <s v="Zombie Rush"/>
    <x v="0"/>
    <x v="3"/>
    <d v="2025-03-19T00:00:00"/>
    <n v="63"/>
    <n v="0"/>
    <s v="None"/>
    <s v="Completed"/>
    <s v="Free"/>
    <n v="49"/>
    <s v="No"/>
    <x v="3"/>
    <x v="0"/>
    <x v="1"/>
    <x v="0"/>
  </r>
  <r>
    <x v="177"/>
    <x v="174"/>
    <s v="Foxdawn"/>
    <s v="Zombie Rush"/>
    <x v="2"/>
    <x v="3"/>
    <d v="2025-03-28T00:00:00"/>
    <n v="175"/>
    <n v="0"/>
    <s v="None"/>
    <s v="Crashed"/>
    <s v="Free"/>
    <n v="33"/>
    <s v="Yes"/>
    <x v="3"/>
    <x v="0"/>
    <x v="1"/>
    <x v="1"/>
  </r>
  <r>
    <x v="178"/>
    <x v="175"/>
    <s v="Carmenbutler"/>
    <s v="SpeedX"/>
    <x v="0"/>
    <x v="0"/>
    <d v="2025-03-11T00:00:00"/>
    <n v="160"/>
    <n v="0"/>
    <s v="None"/>
    <s v="Completed"/>
    <s v="Free"/>
    <n v="1"/>
    <s v="Yes"/>
    <x v="3"/>
    <x v="0"/>
    <x v="1"/>
    <x v="1"/>
  </r>
  <r>
    <x v="179"/>
    <x v="176"/>
    <s v="Tyler13"/>
    <s v="BattleZone"/>
    <x v="0"/>
    <x v="0"/>
    <d v="2025-03-30T00:00:00"/>
    <n v="69"/>
    <n v="0"/>
    <s v="None"/>
    <s v="Incomplete"/>
    <s v="Paid"/>
    <n v="17"/>
    <s v="No"/>
    <x v="3"/>
    <x v="0"/>
    <x v="1"/>
    <x v="0"/>
  </r>
  <r>
    <x v="180"/>
    <x v="177"/>
    <s v="Kevin42"/>
    <s v="Empire Wars"/>
    <x v="1"/>
    <x v="5"/>
    <d v="2025-03-03T00:00:00"/>
    <n v="178"/>
    <n v="0"/>
    <s v="None"/>
    <s v="Completed"/>
    <s v="Free"/>
    <n v="30"/>
    <s v="Yes"/>
    <x v="3"/>
    <x v="0"/>
    <x v="1"/>
    <x v="1"/>
  </r>
  <r>
    <x v="181"/>
    <x v="178"/>
    <s v="Jack69"/>
    <s v="Empire Wars"/>
    <x v="1"/>
    <x v="1"/>
    <d v="2025-03-16T00:00:00"/>
    <n v="161"/>
    <n v="45.73"/>
    <s v="Boosters"/>
    <s v="Completed"/>
    <s v="Paid"/>
    <n v="4"/>
    <s v="Yes"/>
    <x v="3"/>
    <x v="0"/>
    <x v="0"/>
    <x v="1"/>
  </r>
  <r>
    <x v="182"/>
    <x v="179"/>
    <s v="Davidmendoza"/>
    <s v="Empire Wars"/>
    <x v="2"/>
    <x v="3"/>
    <d v="2025-03-03T00:00:00"/>
    <n v="62"/>
    <n v="0"/>
    <s v="None"/>
    <s v="Incomplete"/>
    <s v="Free"/>
    <n v="19"/>
    <s v="No"/>
    <x v="3"/>
    <x v="0"/>
    <x v="1"/>
    <x v="0"/>
  </r>
  <r>
    <x v="183"/>
    <x v="180"/>
    <s v="Johnsonjulie"/>
    <s v="SpeedX"/>
    <x v="2"/>
    <x v="1"/>
    <d v="2025-03-18T00:00:00"/>
    <n v="180"/>
    <n v="0"/>
    <s v="None"/>
    <s v="Completed"/>
    <s v="Free"/>
    <n v="18"/>
    <s v="Yes"/>
    <x v="3"/>
    <x v="0"/>
    <x v="1"/>
    <x v="1"/>
  </r>
  <r>
    <x v="184"/>
    <x v="181"/>
    <s v="Dennis63"/>
    <s v="SpeedX"/>
    <x v="2"/>
    <x v="5"/>
    <d v="2025-03-11T00:00:00"/>
    <n v="158"/>
    <n v="0"/>
    <s v="None"/>
    <s v="Crashed"/>
    <s v="Free"/>
    <n v="22"/>
    <s v="Yes"/>
    <x v="3"/>
    <x v="0"/>
    <x v="1"/>
    <x v="1"/>
  </r>
  <r>
    <x v="185"/>
    <x v="182"/>
    <s v="Gonzalezcindy"/>
    <s v="Clash of Realms"/>
    <x v="1"/>
    <x v="4"/>
    <d v="2025-03-31T00:00:00"/>
    <n v="179"/>
    <n v="0"/>
    <s v="None"/>
    <s v="Completed"/>
    <s v="Free"/>
    <n v="5"/>
    <s v="Yes"/>
    <x v="3"/>
    <x v="0"/>
    <x v="1"/>
    <x v="1"/>
  </r>
  <r>
    <x v="186"/>
    <x v="183"/>
    <s v="Thompsontodd"/>
    <s v="Empire Wars"/>
    <x v="1"/>
    <x v="1"/>
    <d v="2025-03-31T00:00:00"/>
    <n v="83"/>
    <n v="0"/>
    <s v="None"/>
    <s v="Completed"/>
    <s v="Free"/>
    <n v="1"/>
    <s v="No"/>
    <x v="3"/>
    <x v="0"/>
    <x v="1"/>
    <x v="0"/>
  </r>
  <r>
    <x v="187"/>
    <x v="184"/>
    <s v="Jeffreyjimenez"/>
    <s v="Clash of Realms"/>
    <x v="1"/>
    <x v="3"/>
    <d v="2025-03-11T00:00:00"/>
    <n v="90"/>
    <n v="0"/>
    <s v="None"/>
    <s v="Completed"/>
    <s v="Free"/>
    <n v="50"/>
    <s v="No"/>
    <x v="3"/>
    <x v="0"/>
    <x v="1"/>
    <x v="0"/>
  </r>
  <r>
    <x v="188"/>
    <x v="185"/>
    <s v="Holmesbruce"/>
    <s v="Clash of Realms"/>
    <x v="2"/>
    <x v="2"/>
    <d v="2025-04-12T00:00:00"/>
    <n v="134"/>
    <n v="42.57"/>
    <s v="Battle Pass"/>
    <s v="Exited Early"/>
    <s v="Paid"/>
    <n v="40"/>
    <s v="Yes"/>
    <x v="4"/>
    <x v="0"/>
    <x v="0"/>
    <x v="1"/>
  </r>
  <r>
    <x v="189"/>
    <x v="186"/>
    <s v="Jacobhaynes"/>
    <s v="Zombie Rush"/>
    <x v="1"/>
    <x v="3"/>
    <d v="2025-04-21T00:00:00"/>
    <n v="142"/>
    <n v="0"/>
    <s v="None"/>
    <s v="Completed"/>
    <s v="Free"/>
    <n v="23"/>
    <s v="No"/>
    <x v="4"/>
    <x v="0"/>
    <x v="1"/>
    <x v="0"/>
  </r>
  <r>
    <x v="190"/>
    <x v="187"/>
    <s v="Hgardner"/>
    <s v="SpeedX"/>
    <x v="1"/>
    <x v="1"/>
    <d v="2025-04-01T00:00:00"/>
    <n v="86"/>
    <n v="0"/>
    <s v="None"/>
    <s v="Completed"/>
    <s v="Free"/>
    <n v="17"/>
    <s v="No"/>
    <x v="4"/>
    <x v="0"/>
    <x v="1"/>
    <x v="0"/>
  </r>
  <r>
    <x v="191"/>
    <x v="188"/>
    <s v="Evanskristen"/>
    <s v="BattleZone"/>
    <x v="1"/>
    <x v="4"/>
    <d v="2025-04-16T00:00:00"/>
    <n v="139"/>
    <n v="0"/>
    <s v="None"/>
    <s v="Completed"/>
    <s v="Free"/>
    <n v="19"/>
    <s v="No"/>
    <x v="4"/>
    <x v="0"/>
    <x v="1"/>
    <x v="0"/>
  </r>
  <r>
    <x v="192"/>
    <x v="189"/>
    <s v="Sandyherman"/>
    <s v="Empire Wars"/>
    <x v="0"/>
    <x v="0"/>
    <d v="2025-04-03T00:00:00"/>
    <n v="86"/>
    <n v="0"/>
    <s v="None"/>
    <s v="Completed"/>
    <s v="Free"/>
    <n v="47"/>
    <s v="No"/>
    <x v="4"/>
    <x v="0"/>
    <x v="1"/>
    <x v="0"/>
  </r>
  <r>
    <x v="193"/>
    <x v="190"/>
    <s v="Joseph32"/>
    <s v="BattleZone"/>
    <x v="1"/>
    <x v="1"/>
    <d v="2025-04-24T00:00:00"/>
    <n v="76"/>
    <n v="0"/>
    <s v="None"/>
    <s v="Completed"/>
    <s v="Free"/>
    <n v="41"/>
    <s v="No"/>
    <x v="4"/>
    <x v="0"/>
    <x v="1"/>
    <x v="0"/>
  </r>
  <r>
    <x v="194"/>
    <x v="191"/>
    <s v="Fstewart"/>
    <s v="Empire Wars"/>
    <x v="1"/>
    <x v="0"/>
    <d v="2025-04-20T00:00:00"/>
    <n v="153"/>
    <n v="0"/>
    <s v="None"/>
    <s v="Completed"/>
    <s v="Free"/>
    <n v="2"/>
    <s v="Yes"/>
    <x v="4"/>
    <x v="0"/>
    <x v="1"/>
    <x v="1"/>
  </r>
  <r>
    <x v="195"/>
    <x v="192"/>
    <s v="Fmayer"/>
    <s v="Empire Wars"/>
    <x v="2"/>
    <x v="4"/>
    <d v="2025-04-03T00:00:00"/>
    <n v="70"/>
    <n v="0"/>
    <s v="None"/>
    <s v="Completed"/>
    <s v="Free"/>
    <n v="12"/>
    <s v="No"/>
    <x v="4"/>
    <x v="0"/>
    <x v="1"/>
    <x v="0"/>
  </r>
  <r>
    <x v="196"/>
    <x v="193"/>
    <s v="Hernandezcatherine"/>
    <s v="BattleZone"/>
    <x v="2"/>
    <x v="3"/>
    <d v="2025-04-11T00:00:00"/>
    <n v="108"/>
    <n v="0"/>
    <s v="None"/>
    <s v="Crashed"/>
    <s v="Free"/>
    <n v="22"/>
    <s v="No"/>
    <x v="4"/>
    <x v="0"/>
    <x v="1"/>
    <x v="0"/>
  </r>
  <r>
    <x v="197"/>
    <x v="191"/>
    <s v="Smullins"/>
    <s v="BattleZone"/>
    <x v="2"/>
    <x v="5"/>
    <d v="2025-04-23T00:00:00"/>
    <n v="81"/>
    <n v="0"/>
    <s v="None"/>
    <s v="Crashed"/>
    <s v="Free"/>
    <n v="46"/>
    <s v="No"/>
    <x v="4"/>
    <x v="0"/>
    <x v="1"/>
    <x v="0"/>
  </r>
  <r>
    <x v="198"/>
    <x v="194"/>
    <s v="Keithunderwood"/>
    <s v="Zombie Rush"/>
    <x v="2"/>
    <x v="3"/>
    <d v="2025-04-08T00:00:00"/>
    <n v="104"/>
    <n v="9.94"/>
    <s v="Subscriptions"/>
    <s v="Exited Early"/>
    <s v="Paid"/>
    <n v="21"/>
    <s v="No"/>
    <x v="4"/>
    <x v="0"/>
    <x v="0"/>
    <x v="0"/>
  </r>
  <r>
    <x v="199"/>
    <x v="195"/>
    <s v="Vhart"/>
    <s v="Zombie Rush"/>
    <x v="2"/>
    <x v="2"/>
    <d v="2025-04-02T00:00:00"/>
    <n v="65"/>
    <n v="0"/>
    <s v="None"/>
    <s v="Completed"/>
    <s v="Free"/>
    <n v="8"/>
    <s v="No"/>
    <x v="4"/>
    <x v="0"/>
    <x v="1"/>
    <x v="0"/>
  </r>
  <r>
    <x v="200"/>
    <x v="196"/>
    <s v="Robert23"/>
    <s v="SpeedX"/>
    <x v="1"/>
    <x v="3"/>
    <d v="2025-04-01T00:00:00"/>
    <n v="150"/>
    <n v="0"/>
    <s v="None"/>
    <s v="Completed"/>
    <s v="Free"/>
    <n v="47"/>
    <s v="No"/>
    <x v="4"/>
    <x v="0"/>
    <x v="1"/>
    <x v="0"/>
  </r>
  <r>
    <x v="201"/>
    <x v="197"/>
    <s v="Linda22"/>
    <s v="Zombie Rush"/>
    <x v="2"/>
    <x v="5"/>
    <d v="2025-04-26T00:00:00"/>
    <n v="101"/>
    <n v="0"/>
    <s v="None"/>
    <s v="Completed"/>
    <s v="Free"/>
    <n v="15"/>
    <s v="No"/>
    <x v="4"/>
    <x v="0"/>
    <x v="1"/>
    <x v="0"/>
  </r>
  <r>
    <x v="202"/>
    <x v="55"/>
    <s v="Timothy18"/>
    <s v="BattleZone"/>
    <x v="1"/>
    <x v="3"/>
    <d v="2025-04-27T00:00:00"/>
    <n v="72"/>
    <n v="0"/>
    <s v="None"/>
    <s v="Completed"/>
    <s v="Paid"/>
    <n v="6"/>
    <s v="No"/>
    <x v="4"/>
    <x v="0"/>
    <x v="1"/>
    <x v="0"/>
  </r>
  <r>
    <x v="203"/>
    <x v="198"/>
    <s v="Deckeramanda"/>
    <s v="SpeedX"/>
    <x v="2"/>
    <x v="4"/>
    <d v="2025-04-12T00:00:00"/>
    <n v="145"/>
    <n v="0"/>
    <s v="None"/>
    <s v="Completed"/>
    <s v="Paid"/>
    <n v="36"/>
    <s v="No"/>
    <x v="4"/>
    <x v="0"/>
    <x v="1"/>
    <x v="0"/>
  </r>
  <r>
    <x v="204"/>
    <x v="199"/>
    <s v="Robertohobbs"/>
    <s v="Zombie Rush"/>
    <x v="2"/>
    <x v="4"/>
    <d v="2025-04-22T00:00:00"/>
    <n v="83"/>
    <n v="0"/>
    <s v="None"/>
    <s v="Completed"/>
    <s v="Free"/>
    <n v="25"/>
    <s v="No"/>
    <x v="4"/>
    <x v="0"/>
    <x v="1"/>
    <x v="0"/>
  </r>
  <r>
    <x v="205"/>
    <x v="200"/>
    <s v="Manuel15"/>
    <s v="SpeedX"/>
    <x v="1"/>
    <x v="3"/>
    <d v="2025-04-23T00:00:00"/>
    <n v="136"/>
    <n v="0"/>
    <s v="None"/>
    <s v="Completed"/>
    <s v="Free"/>
    <n v="23"/>
    <s v="No"/>
    <x v="4"/>
    <x v="0"/>
    <x v="1"/>
    <x v="0"/>
  </r>
  <r>
    <x v="206"/>
    <x v="201"/>
    <s v="Pwright"/>
    <s v="BattleZone"/>
    <x v="2"/>
    <x v="5"/>
    <d v="2025-04-20T00:00:00"/>
    <n v="97"/>
    <n v="3.6"/>
    <s v="Subscriptions"/>
    <s v="Incomplete"/>
    <s v="Paid"/>
    <n v="14"/>
    <s v="No"/>
    <x v="4"/>
    <x v="0"/>
    <x v="0"/>
    <x v="0"/>
  </r>
  <r>
    <x v="207"/>
    <x v="202"/>
    <s v="Thomasowens"/>
    <s v="Zombie Rush"/>
    <x v="2"/>
    <x v="4"/>
    <d v="2025-04-18T00:00:00"/>
    <n v="116"/>
    <n v="17.05"/>
    <s v="Subscriptions"/>
    <s v="Exited Early"/>
    <s v="Paid"/>
    <n v="17"/>
    <s v="No"/>
    <x v="4"/>
    <x v="0"/>
    <x v="0"/>
    <x v="0"/>
  </r>
  <r>
    <x v="208"/>
    <x v="203"/>
    <s v="Neilmorrison"/>
    <s v="BattleZone"/>
    <x v="0"/>
    <x v="0"/>
    <d v="2025-04-08T00:00:00"/>
    <n v="180"/>
    <n v="0"/>
    <s v="None"/>
    <s v="Completed"/>
    <s v="Free"/>
    <n v="8"/>
    <s v="Yes"/>
    <x v="4"/>
    <x v="0"/>
    <x v="1"/>
    <x v="1"/>
  </r>
  <r>
    <x v="209"/>
    <x v="204"/>
    <s v="Walkerdeborah"/>
    <s v="BattleZone"/>
    <x v="0"/>
    <x v="4"/>
    <d v="2025-04-16T00:00:00"/>
    <n v="116"/>
    <n v="47.47"/>
    <s v="Subscriptions"/>
    <s v="Completed"/>
    <s v="Paid"/>
    <n v="1"/>
    <s v="Yes"/>
    <x v="4"/>
    <x v="0"/>
    <x v="0"/>
    <x v="1"/>
  </r>
  <r>
    <x v="210"/>
    <x v="205"/>
    <s v="Joe22"/>
    <s v="Clash of Realms"/>
    <x v="2"/>
    <x v="2"/>
    <d v="2025-04-09T00:00:00"/>
    <n v="123"/>
    <n v="0"/>
    <s v="None"/>
    <s v="Crashed"/>
    <s v="Paid"/>
    <n v="47"/>
    <s v="No"/>
    <x v="4"/>
    <x v="0"/>
    <x v="1"/>
    <x v="0"/>
  </r>
  <r>
    <x v="211"/>
    <x v="206"/>
    <s v="Brianlopez"/>
    <s v="Zombie Rush"/>
    <x v="2"/>
    <x v="3"/>
    <d v="2025-04-01T00:00:00"/>
    <n v="88"/>
    <n v="0"/>
    <s v="None"/>
    <s v="Completed"/>
    <s v="Free"/>
    <n v="39"/>
    <s v="No"/>
    <x v="4"/>
    <x v="0"/>
    <x v="1"/>
    <x v="0"/>
  </r>
  <r>
    <x v="212"/>
    <x v="207"/>
    <s v="Dylanblack"/>
    <s v="Zombie Rush"/>
    <x v="2"/>
    <x v="1"/>
    <d v="2025-04-06T00:00:00"/>
    <n v="145"/>
    <n v="0"/>
    <s v="None"/>
    <s v="Completed"/>
    <s v="Free"/>
    <n v="43"/>
    <s v="No"/>
    <x v="4"/>
    <x v="0"/>
    <x v="1"/>
    <x v="0"/>
  </r>
  <r>
    <x v="213"/>
    <x v="208"/>
    <s v="Jperkins"/>
    <s v="Zombie Rush"/>
    <x v="1"/>
    <x v="3"/>
    <d v="2025-04-11T00:00:00"/>
    <n v="111"/>
    <n v="0"/>
    <s v="None"/>
    <s v="Completed"/>
    <s v="Free"/>
    <n v="39"/>
    <s v="No"/>
    <x v="4"/>
    <x v="0"/>
    <x v="1"/>
    <x v="0"/>
  </r>
  <r>
    <x v="214"/>
    <x v="209"/>
    <s v="Derrickbuck"/>
    <s v="SpeedX"/>
    <x v="2"/>
    <x v="1"/>
    <d v="2025-04-29T00:00:00"/>
    <n v="101"/>
    <n v="0"/>
    <s v="None"/>
    <s v="Incomplete"/>
    <s v="Free"/>
    <n v="41"/>
    <s v="No"/>
    <x v="4"/>
    <x v="0"/>
    <x v="1"/>
    <x v="0"/>
  </r>
  <r>
    <x v="215"/>
    <x v="210"/>
    <s v="Hhuff"/>
    <s v="BattleZone"/>
    <x v="2"/>
    <x v="5"/>
    <d v="2025-04-18T00:00:00"/>
    <n v="165"/>
    <n v="21.99"/>
    <s v="Boosters"/>
    <s v="Exited Early"/>
    <s v="Paid"/>
    <n v="45"/>
    <s v="Yes"/>
    <x v="4"/>
    <x v="0"/>
    <x v="0"/>
    <x v="1"/>
  </r>
  <r>
    <x v="216"/>
    <x v="211"/>
    <s v="Shawna86"/>
    <s v="Clash of Realms"/>
    <x v="1"/>
    <x v="0"/>
    <d v="2025-04-28T00:00:00"/>
    <n v="105"/>
    <n v="0"/>
    <s v="None"/>
    <s v="Completed"/>
    <s v="Free"/>
    <n v="38"/>
    <s v="No"/>
    <x v="4"/>
    <x v="0"/>
    <x v="1"/>
    <x v="0"/>
  </r>
  <r>
    <x v="217"/>
    <x v="212"/>
    <s v="Kellyrichardson"/>
    <s v="SpeedX"/>
    <x v="1"/>
    <x v="1"/>
    <d v="2025-04-09T00:00:00"/>
    <n v="92"/>
    <n v="0"/>
    <s v="None"/>
    <s v="Completed"/>
    <s v="Free"/>
    <n v="11"/>
    <s v="No"/>
    <x v="4"/>
    <x v="0"/>
    <x v="1"/>
    <x v="0"/>
  </r>
  <r>
    <x v="218"/>
    <x v="213"/>
    <s v="Parkzachary"/>
    <s v="Zombie Rush"/>
    <x v="0"/>
    <x v="3"/>
    <d v="2025-04-07T00:00:00"/>
    <n v="144"/>
    <n v="29.52"/>
    <s v="Skins"/>
    <s v="Exited Early"/>
    <s v="Paid"/>
    <n v="36"/>
    <s v="No"/>
    <x v="4"/>
    <x v="0"/>
    <x v="0"/>
    <x v="0"/>
  </r>
  <r>
    <x v="219"/>
    <x v="214"/>
    <s v="Deannanewman"/>
    <s v="BattleZone"/>
    <x v="1"/>
    <x v="4"/>
    <d v="2025-04-17T00:00:00"/>
    <n v="163"/>
    <n v="0"/>
    <s v="None"/>
    <s v="Completed"/>
    <s v="Free"/>
    <n v="46"/>
    <s v="Yes"/>
    <x v="4"/>
    <x v="0"/>
    <x v="1"/>
    <x v="1"/>
  </r>
  <r>
    <x v="220"/>
    <x v="215"/>
    <s v="Aryan"/>
    <s v="BattleZone"/>
    <x v="0"/>
    <x v="5"/>
    <d v="2025-04-25T00:00:00"/>
    <n v="161"/>
    <n v="0"/>
    <s v="None"/>
    <s v="Completed"/>
    <s v="Free"/>
    <n v="25"/>
    <s v="Yes"/>
    <x v="4"/>
    <x v="0"/>
    <x v="1"/>
    <x v="1"/>
  </r>
  <r>
    <x v="221"/>
    <x v="216"/>
    <s v="Fmay"/>
    <s v="SpeedX"/>
    <x v="2"/>
    <x v="1"/>
    <d v="2025-04-02T00:00:00"/>
    <n v="116"/>
    <n v="0"/>
    <s v="None"/>
    <s v="Incomplete"/>
    <s v="Paid"/>
    <n v="11"/>
    <s v="No"/>
    <x v="4"/>
    <x v="0"/>
    <x v="1"/>
    <x v="0"/>
  </r>
  <r>
    <x v="222"/>
    <x v="217"/>
    <s v="Tracy64"/>
    <s v="Empire Wars"/>
    <x v="2"/>
    <x v="2"/>
    <d v="2025-04-02T00:00:00"/>
    <n v="175"/>
    <n v="7.47"/>
    <s v="Skins"/>
    <s v="Completed"/>
    <s v="Paid"/>
    <n v="17"/>
    <s v="Yes"/>
    <x v="4"/>
    <x v="0"/>
    <x v="0"/>
    <x v="1"/>
  </r>
  <r>
    <x v="223"/>
    <x v="218"/>
    <s v="Lynchtina"/>
    <s v="SpeedX"/>
    <x v="0"/>
    <x v="5"/>
    <d v="2025-04-16T00:00:00"/>
    <n v="73"/>
    <n v="0"/>
    <s v="None"/>
    <s v="Incomplete"/>
    <s v="Free"/>
    <n v="32"/>
    <s v="No"/>
    <x v="4"/>
    <x v="0"/>
    <x v="1"/>
    <x v="0"/>
  </r>
  <r>
    <x v="224"/>
    <x v="219"/>
    <s v="Joshuasmith"/>
    <s v="SpeedX"/>
    <x v="0"/>
    <x v="4"/>
    <d v="2025-04-25T00:00:00"/>
    <n v="91"/>
    <n v="0"/>
    <s v="None"/>
    <s v="Exited Early"/>
    <s v="Free"/>
    <n v="44"/>
    <s v="No"/>
    <x v="4"/>
    <x v="0"/>
    <x v="1"/>
    <x v="0"/>
  </r>
  <r>
    <x v="225"/>
    <x v="220"/>
    <s v="Georgewarren"/>
    <s v="Clash of Realms"/>
    <x v="1"/>
    <x v="5"/>
    <d v="2025-04-17T00:00:00"/>
    <n v="116"/>
    <n v="0"/>
    <s v="None"/>
    <s v="Completed"/>
    <s v="Free"/>
    <n v="40"/>
    <s v="No"/>
    <x v="4"/>
    <x v="0"/>
    <x v="1"/>
    <x v="0"/>
  </r>
  <r>
    <x v="226"/>
    <x v="221"/>
    <s v="Matthew23"/>
    <s v="Zombie Rush"/>
    <x v="2"/>
    <x v="3"/>
    <d v="2025-04-11T00:00:00"/>
    <n v="166"/>
    <n v="47.72"/>
    <s v="Skins"/>
    <s v="Completed"/>
    <s v="Paid"/>
    <n v="40"/>
    <s v="Yes"/>
    <x v="4"/>
    <x v="0"/>
    <x v="0"/>
    <x v="1"/>
  </r>
  <r>
    <x v="227"/>
    <x v="222"/>
    <s v="Kcook"/>
    <s v="Empire Wars"/>
    <x v="0"/>
    <x v="0"/>
    <d v="2025-04-03T00:00:00"/>
    <n v="87"/>
    <n v="0"/>
    <s v="None"/>
    <s v="Completed"/>
    <s v="Free"/>
    <n v="33"/>
    <s v="No"/>
    <x v="4"/>
    <x v="0"/>
    <x v="1"/>
    <x v="0"/>
  </r>
  <r>
    <x v="228"/>
    <x v="223"/>
    <s v="Monicaharris"/>
    <s v="BattleZone"/>
    <x v="1"/>
    <x v="4"/>
    <d v="2025-04-15T00:00:00"/>
    <n v="175"/>
    <n v="0"/>
    <s v="None"/>
    <s v="Completed"/>
    <s v="Free"/>
    <n v="1"/>
    <s v="Yes"/>
    <x v="4"/>
    <x v="0"/>
    <x v="1"/>
    <x v="1"/>
  </r>
  <r>
    <x v="229"/>
    <x v="224"/>
    <s v="Parkerpatricia"/>
    <s v="Clash of Realms"/>
    <x v="0"/>
    <x v="2"/>
    <d v="2025-04-19T00:00:00"/>
    <n v="91"/>
    <n v="13.08"/>
    <s v="Skins"/>
    <s v="Completed"/>
    <s v="Paid"/>
    <n v="17"/>
    <s v="No"/>
    <x v="4"/>
    <x v="0"/>
    <x v="0"/>
    <x v="0"/>
  </r>
  <r>
    <x v="230"/>
    <x v="225"/>
    <s v="Raymondjenna"/>
    <s v="SpeedX"/>
    <x v="1"/>
    <x v="2"/>
    <d v="2025-04-24T00:00:00"/>
    <n v="66"/>
    <n v="0"/>
    <s v="None"/>
    <s v="Exited Early"/>
    <s v="Free"/>
    <n v="4"/>
    <s v="No"/>
    <x v="4"/>
    <x v="0"/>
    <x v="1"/>
    <x v="0"/>
  </r>
  <r>
    <x v="231"/>
    <x v="226"/>
    <s v="Douglasluke"/>
    <s v="SpeedX"/>
    <x v="1"/>
    <x v="5"/>
    <d v="2025-04-12T00:00:00"/>
    <n v="110"/>
    <n v="0"/>
    <s v="None"/>
    <s v="Completed"/>
    <s v="Free"/>
    <n v="40"/>
    <s v="No"/>
    <x v="4"/>
    <x v="0"/>
    <x v="1"/>
    <x v="0"/>
  </r>
  <r>
    <x v="232"/>
    <x v="227"/>
    <s v="Elizabeth99"/>
    <s v="Clash of Realms"/>
    <x v="0"/>
    <x v="3"/>
    <d v="2025-04-01T00:00:00"/>
    <n v="93"/>
    <n v="0"/>
    <s v="None"/>
    <s v="Completed"/>
    <s v="Free"/>
    <n v="47"/>
    <s v="No"/>
    <x v="4"/>
    <x v="0"/>
    <x v="1"/>
    <x v="0"/>
  </r>
  <r>
    <x v="233"/>
    <x v="228"/>
    <s v="Nthompson"/>
    <s v="BattleZone"/>
    <x v="0"/>
    <x v="2"/>
    <d v="2025-04-12T00:00:00"/>
    <n v="109"/>
    <n v="0"/>
    <s v="None"/>
    <s v="Completed"/>
    <s v="Free"/>
    <n v="40"/>
    <s v="No"/>
    <x v="4"/>
    <x v="0"/>
    <x v="1"/>
    <x v="0"/>
  </r>
  <r>
    <x v="234"/>
    <x v="229"/>
    <s v="Coreyperez"/>
    <s v="BattleZone"/>
    <x v="2"/>
    <x v="3"/>
    <d v="2025-04-29T00:00:00"/>
    <n v="140"/>
    <n v="0"/>
    <s v="None"/>
    <s v="Completed"/>
    <s v="Free"/>
    <n v="1"/>
    <s v="No"/>
    <x v="4"/>
    <x v="0"/>
    <x v="1"/>
    <x v="0"/>
  </r>
  <r>
    <x v="235"/>
    <x v="230"/>
    <s v="Ballarddouglas"/>
    <s v="Zombie Rush"/>
    <x v="0"/>
    <x v="3"/>
    <d v="2025-05-21T00:00:00"/>
    <n v="109"/>
    <n v="5.48"/>
    <s v="Boosters"/>
    <s v="Crashed"/>
    <s v="Paid"/>
    <n v="5"/>
    <s v="No"/>
    <x v="5"/>
    <x v="0"/>
    <x v="0"/>
    <x v="0"/>
  </r>
  <r>
    <x v="236"/>
    <x v="231"/>
    <s v="Ryanmarshall"/>
    <s v="Zombie Rush"/>
    <x v="1"/>
    <x v="3"/>
    <d v="2025-05-14T00:00:00"/>
    <n v="138"/>
    <n v="0"/>
    <s v="None"/>
    <s v="Exited Early"/>
    <s v="Free"/>
    <n v="48"/>
    <s v="No"/>
    <x v="5"/>
    <x v="0"/>
    <x v="1"/>
    <x v="0"/>
  </r>
  <r>
    <x v="237"/>
    <x v="232"/>
    <s v="Krogers"/>
    <s v="Clash of Realms"/>
    <x v="1"/>
    <x v="5"/>
    <d v="2025-05-20T00:00:00"/>
    <n v="179"/>
    <n v="0"/>
    <s v="None"/>
    <s v="Completed"/>
    <s v="Free"/>
    <n v="10"/>
    <s v="Yes"/>
    <x v="5"/>
    <x v="0"/>
    <x v="1"/>
    <x v="1"/>
  </r>
  <r>
    <x v="238"/>
    <x v="233"/>
    <s v="Yjohnson"/>
    <s v="BattleZone"/>
    <x v="1"/>
    <x v="1"/>
    <d v="2025-05-17T00:00:00"/>
    <n v="78"/>
    <n v="0"/>
    <s v="None"/>
    <s v="Completed"/>
    <s v="Free"/>
    <n v="35"/>
    <s v="No"/>
    <x v="5"/>
    <x v="0"/>
    <x v="1"/>
    <x v="0"/>
  </r>
  <r>
    <x v="239"/>
    <x v="234"/>
    <s v="Millerdonald"/>
    <s v="Clash of Realms"/>
    <x v="2"/>
    <x v="4"/>
    <d v="2025-05-16T00:00:00"/>
    <n v="146"/>
    <n v="0"/>
    <s v="None"/>
    <s v="Crashed"/>
    <s v="Free"/>
    <n v="2"/>
    <s v="No"/>
    <x v="5"/>
    <x v="0"/>
    <x v="1"/>
    <x v="0"/>
  </r>
  <r>
    <x v="240"/>
    <x v="235"/>
    <s v="Lawsonderrick"/>
    <s v="BattleZone"/>
    <x v="1"/>
    <x v="2"/>
    <d v="2025-05-31T00:00:00"/>
    <n v="168"/>
    <n v="0"/>
    <s v="None"/>
    <s v="Completed"/>
    <s v="Free"/>
    <n v="33"/>
    <s v="Yes"/>
    <x v="5"/>
    <x v="0"/>
    <x v="1"/>
    <x v="1"/>
  </r>
  <r>
    <x v="241"/>
    <x v="236"/>
    <s v="Icrawford"/>
    <s v="Clash of Realms"/>
    <x v="2"/>
    <x v="3"/>
    <d v="2025-05-13T00:00:00"/>
    <n v="86"/>
    <n v="0"/>
    <s v="None"/>
    <s v="Completed"/>
    <s v="Free"/>
    <n v="34"/>
    <s v="No"/>
    <x v="5"/>
    <x v="0"/>
    <x v="1"/>
    <x v="0"/>
  </r>
  <r>
    <x v="242"/>
    <x v="237"/>
    <s v="Owensoscar"/>
    <s v="Empire Wars"/>
    <x v="0"/>
    <x v="2"/>
    <d v="2025-05-02T00:00:00"/>
    <n v="173"/>
    <n v="0"/>
    <s v="None"/>
    <s v="Completed"/>
    <s v="Free"/>
    <n v="8"/>
    <s v="Yes"/>
    <x v="5"/>
    <x v="0"/>
    <x v="1"/>
    <x v="1"/>
  </r>
  <r>
    <x v="243"/>
    <x v="238"/>
    <s v="Donna27"/>
    <s v="Zombie Rush"/>
    <x v="0"/>
    <x v="2"/>
    <d v="2025-05-27T00:00:00"/>
    <n v="167"/>
    <n v="0"/>
    <s v="None"/>
    <s v="Completed"/>
    <s v="Free"/>
    <n v="28"/>
    <s v="Yes"/>
    <x v="5"/>
    <x v="0"/>
    <x v="1"/>
    <x v="1"/>
  </r>
  <r>
    <x v="244"/>
    <x v="239"/>
    <s v="Richardhooper"/>
    <s v="BattleZone"/>
    <x v="2"/>
    <x v="0"/>
    <d v="2025-05-13T00:00:00"/>
    <n v="121"/>
    <n v="0"/>
    <s v="None"/>
    <s v="Completed"/>
    <s v="Free"/>
    <n v="14"/>
    <s v="No"/>
    <x v="5"/>
    <x v="0"/>
    <x v="1"/>
    <x v="0"/>
  </r>
  <r>
    <x v="245"/>
    <x v="240"/>
    <s v="Cathy10"/>
    <s v="SpeedX"/>
    <x v="2"/>
    <x v="0"/>
    <d v="2025-05-23T00:00:00"/>
    <n v="103"/>
    <n v="0"/>
    <s v="None"/>
    <s v="Completed"/>
    <s v="Free"/>
    <n v="11"/>
    <s v="No"/>
    <x v="5"/>
    <x v="0"/>
    <x v="1"/>
    <x v="0"/>
  </r>
  <r>
    <x v="246"/>
    <x v="241"/>
    <s v="Adamsbarbara"/>
    <s v="SpeedX"/>
    <x v="2"/>
    <x v="5"/>
    <d v="2025-05-18T00:00:00"/>
    <n v="93"/>
    <n v="0"/>
    <s v="None"/>
    <s v="Completed"/>
    <s v="Free"/>
    <n v="26"/>
    <s v="No"/>
    <x v="5"/>
    <x v="0"/>
    <x v="1"/>
    <x v="0"/>
  </r>
  <r>
    <x v="247"/>
    <x v="242"/>
    <s v="Marcus01"/>
    <s v="Empire Wars"/>
    <x v="2"/>
    <x v="1"/>
    <d v="2025-05-11T00:00:00"/>
    <n v="73"/>
    <n v="0"/>
    <s v="None"/>
    <s v="Completed"/>
    <s v="Free"/>
    <n v="46"/>
    <s v="No"/>
    <x v="5"/>
    <x v="0"/>
    <x v="1"/>
    <x v="0"/>
  </r>
  <r>
    <x v="248"/>
    <x v="243"/>
    <s v="Charles59"/>
    <s v="Empire Wars"/>
    <x v="0"/>
    <x v="4"/>
    <d v="2025-05-22T00:00:00"/>
    <n v="164"/>
    <n v="0"/>
    <s v="None"/>
    <s v="Incomplete"/>
    <s v="Free"/>
    <n v="40"/>
    <s v="Yes"/>
    <x v="5"/>
    <x v="0"/>
    <x v="1"/>
    <x v="1"/>
  </r>
  <r>
    <x v="249"/>
    <x v="244"/>
    <s v="Amylong"/>
    <s v="BattleZone"/>
    <x v="0"/>
    <x v="3"/>
    <d v="2025-05-11T00:00:00"/>
    <n v="117"/>
    <n v="0"/>
    <s v="None"/>
    <s v="Exited Early"/>
    <s v="Free"/>
    <n v="11"/>
    <s v="No"/>
    <x v="5"/>
    <x v="0"/>
    <x v="1"/>
    <x v="0"/>
  </r>
  <r>
    <x v="250"/>
    <x v="245"/>
    <s v="Usnyder"/>
    <s v="BattleZone"/>
    <x v="1"/>
    <x v="3"/>
    <d v="2025-05-04T00:00:00"/>
    <n v="139"/>
    <n v="0"/>
    <s v="None"/>
    <s v="Completed"/>
    <s v="Free"/>
    <n v="41"/>
    <s v="No"/>
    <x v="5"/>
    <x v="0"/>
    <x v="1"/>
    <x v="0"/>
  </r>
  <r>
    <x v="251"/>
    <x v="246"/>
    <s v="Sholmes"/>
    <s v="SpeedX"/>
    <x v="2"/>
    <x v="3"/>
    <d v="2025-05-27T00:00:00"/>
    <n v="156"/>
    <n v="0"/>
    <s v="None"/>
    <s v="Completed"/>
    <s v="Paid"/>
    <n v="50"/>
    <s v="Yes"/>
    <x v="5"/>
    <x v="0"/>
    <x v="1"/>
    <x v="1"/>
  </r>
  <r>
    <x v="252"/>
    <x v="247"/>
    <s v="Jennifersmith"/>
    <s v="Empire Wars"/>
    <x v="0"/>
    <x v="4"/>
    <d v="2025-05-05T00:00:00"/>
    <n v="63"/>
    <n v="0"/>
    <s v="None"/>
    <s v="Completed"/>
    <s v="Paid"/>
    <n v="43"/>
    <s v="No"/>
    <x v="5"/>
    <x v="0"/>
    <x v="1"/>
    <x v="0"/>
  </r>
  <r>
    <x v="253"/>
    <x v="248"/>
    <s v="Craiggail"/>
    <s v="SpeedX"/>
    <x v="0"/>
    <x v="3"/>
    <d v="2025-05-05T00:00:00"/>
    <n v="79"/>
    <n v="0"/>
    <s v="None"/>
    <s v="Completed"/>
    <s v="Free"/>
    <n v="49"/>
    <s v="No"/>
    <x v="5"/>
    <x v="0"/>
    <x v="1"/>
    <x v="0"/>
  </r>
  <r>
    <x v="254"/>
    <x v="249"/>
    <s v="Bentonashley"/>
    <s v="SpeedX"/>
    <x v="0"/>
    <x v="5"/>
    <d v="2025-05-02T00:00:00"/>
    <n v="175"/>
    <n v="27.19"/>
    <s v="Skins"/>
    <s v="Completed"/>
    <s v="Paid"/>
    <n v="1"/>
    <s v="Yes"/>
    <x v="5"/>
    <x v="0"/>
    <x v="0"/>
    <x v="1"/>
  </r>
  <r>
    <x v="255"/>
    <x v="250"/>
    <s v="Xreed"/>
    <s v="Clash of Realms"/>
    <x v="1"/>
    <x v="5"/>
    <d v="2025-05-02T00:00:00"/>
    <n v="123"/>
    <n v="26.85"/>
    <s v="Battle Pass"/>
    <s v="Crashed"/>
    <s v="Paid"/>
    <n v="32"/>
    <s v="No"/>
    <x v="5"/>
    <x v="0"/>
    <x v="0"/>
    <x v="0"/>
  </r>
  <r>
    <x v="256"/>
    <x v="251"/>
    <s v="Jeffreyluna"/>
    <s v="Empire Wars"/>
    <x v="2"/>
    <x v="1"/>
    <d v="2025-05-10T00:00:00"/>
    <n v="107"/>
    <n v="0"/>
    <s v="None"/>
    <s v="Incomplete"/>
    <s v="Free"/>
    <n v="13"/>
    <s v="No"/>
    <x v="5"/>
    <x v="0"/>
    <x v="1"/>
    <x v="0"/>
  </r>
  <r>
    <x v="257"/>
    <x v="252"/>
    <s v="Ggriffith"/>
    <s v="Empire Wars"/>
    <x v="2"/>
    <x v="4"/>
    <d v="2025-05-18T00:00:00"/>
    <n v="90"/>
    <n v="0"/>
    <s v="None"/>
    <s v="Completed"/>
    <s v="Free"/>
    <n v="3"/>
    <s v="No"/>
    <x v="5"/>
    <x v="0"/>
    <x v="1"/>
    <x v="0"/>
  </r>
  <r>
    <x v="258"/>
    <x v="253"/>
    <s v="Chrisperkins"/>
    <s v="Clash of Realms"/>
    <x v="2"/>
    <x v="0"/>
    <d v="2025-05-22T00:00:00"/>
    <n v="64"/>
    <n v="0"/>
    <s v="None"/>
    <s v="Completed"/>
    <s v="Free"/>
    <n v="50"/>
    <s v="No"/>
    <x v="5"/>
    <x v="0"/>
    <x v="1"/>
    <x v="0"/>
  </r>
  <r>
    <x v="259"/>
    <x v="254"/>
    <s v="Davidhunt"/>
    <s v="BattleZone"/>
    <x v="2"/>
    <x v="4"/>
    <d v="2025-05-10T00:00:00"/>
    <n v="114"/>
    <n v="0"/>
    <s v="None"/>
    <s v="Incomplete"/>
    <s v="Free"/>
    <n v="22"/>
    <s v="No"/>
    <x v="5"/>
    <x v="0"/>
    <x v="1"/>
    <x v="0"/>
  </r>
  <r>
    <x v="260"/>
    <x v="255"/>
    <s v="Jennifer33"/>
    <s v="BattleZone"/>
    <x v="1"/>
    <x v="3"/>
    <d v="2025-05-21T00:00:00"/>
    <n v="164"/>
    <n v="0"/>
    <s v="None"/>
    <s v="Crashed"/>
    <s v="Paid"/>
    <n v="39"/>
    <s v="Yes"/>
    <x v="5"/>
    <x v="0"/>
    <x v="1"/>
    <x v="1"/>
  </r>
  <r>
    <x v="261"/>
    <x v="256"/>
    <s v="Keithmaddox"/>
    <s v="BattleZone"/>
    <x v="0"/>
    <x v="0"/>
    <d v="2025-05-25T00:00:00"/>
    <n v="172"/>
    <n v="0"/>
    <s v="None"/>
    <s v="Completed"/>
    <s v="Free"/>
    <n v="50"/>
    <s v="Yes"/>
    <x v="5"/>
    <x v="0"/>
    <x v="1"/>
    <x v="1"/>
  </r>
  <r>
    <x v="262"/>
    <x v="257"/>
    <s v="Brenda52"/>
    <s v="BattleZone"/>
    <x v="2"/>
    <x v="2"/>
    <d v="2025-05-16T00:00:00"/>
    <n v="166"/>
    <n v="0"/>
    <s v="None"/>
    <s v="Completed"/>
    <s v="Free"/>
    <n v="27"/>
    <s v="Yes"/>
    <x v="5"/>
    <x v="0"/>
    <x v="1"/>
    <x v="1"/>
  </r>
  <r>
    <x v="263"/>
    <x v="258"/>
    <s v="Davisamy"/>
    <s v="Empire Wars"/>
    <x v="0"/>
    <x v="2"/>
    <d v="2025-05-14T00:00:00"/>
    <n v="98"/>
    <n v="0"/>
    <s v="None"/>
    <s v="Crashed"/>
    <s v="Free"/>
    <n v="7"/>
    <s v="No"/>
    <x v="5"/>
    <x v="0"/>
    <x v="1"/>
    <x v="0"/>
  </r>
  <r>
    <x v="264"/>
    <x v="259"/>
    <s v="Dorseyemily"/>
    <s v="BattleZone"/>
    <x v="2"/>
    <x v="3"/>
    <d v="2025-05-04T00:00:00"/>
    <n v="63"/>
    <n v="0"/>
    <s v="None"/>
    <s v="Completed"/>
    <s v="Free"/>
    <n v="13"/>
    <s v="No"/>
    <x v="5"/>
    <x v="0"/>
    <x v="1"/>
    <x v="0"/>
  </r>
  <r>
    <x v="265"/>
    <x v="260"/>
    <s v="Pweaver"/>
    <s v="Clash of Realms"/>
    <x v="2"/>
    <x v="2"/>
    <d v="2025-05-20T00:00:00"/>
    <n v="147"/>
    <n v="32.049999999999997"/>
    <s v="Subscriptions"/>
    <s v="Incomplete"/>
    <s v="Paid"/>
    <n v="11"/>
    <s v="No"/>
    <x v="5"/>
    <x v="0"/>
    <x v="0"/>
    <x v="0"/>
  </r>
  <r>
    <x v="266"/>
    <x v="261"/>
    <s v="Figueroadoris"/>
    <s v="Clash of Realms"/>
    <x v="0"/>
    <x v="5"/>
    <d v="2025-05-01T00:00:00"/>
    <n v="116"/>
    <n v="0"/>
    <s v="None"/>
    <s v="Crashed"/>
    <s v="Free"/>
    <n v="30"/>
    <s v="No"/>
    <x v="5"/>
    <x v="0"/>
    <x v="1"/>
    <x v="0"/>
  </r>
  <r>
    <x v="267"/>
    <x v="262"/>
    <s v="Alanguerrero"/>
    <s v="SpeedX"/>
    <x v="1"/>
    <x v="0"/>
    <d v="2025-05-17T00:00:00"/>
    <n v="115"/>
    <n v="0"/>
    <s v="None"/>
    <s v="Crashed"/>
    <s v="Free"/>
    <n v="42"/>
    <s v="No"/>
    <x v="5"/>
    <x v="0"/>
    <x v="1"/>
    <x v="0"/>
  </r>
  <r>
    <x v="268"/>
    <x v="263"/>
    <s v="Byrdevelyn"/>
    <s v="Zombie Rush"/>
    <x v="0"/>
    <x v="2"/>
    <d v="2025-05-15T00:00:00"/>
    <n v="171"/>
    <n v="18.03"/>
    <s v="Skins"/>
    <s v="Completed"/>
    <s v="Paid"/>
    <n v="43"/>
    <s v="Yes"/>
    <x v="5"/>
    <x v="0"/>
    <x v="0"/>
    <x v="1"/>
  </r>
  <r>
    <x v="269"/>
    <x v="264"/>
    <s v="Victoriastone"/>
    <s v="BattleZone"/>
    <x v="1"/>
    <x v="2"/>
    <d v="2025-05-05T00:00:00"/>
    <n v="94"/>
    <n v="0"/>
    <s v="None"/>
    <s v="Exited Early"/>
    <s v="Free"/>
    <n v="23"/>
    <s v="No"/>
    <x v="5"/>
    <x v="0"/>
    <x v="1"/>
    <x v="0"/>
  </r>
  <r>
    <x v="270"/>
    <x v="265"/>
    <s v="Robertroberts"/>
    <s v="BattleZone"/>
    <x v="2"/>
    <x v="1"/>
    <d v="2025-05-17T00:00:00"/>
    <n v="153"/>
    <n v="0"/>
    <s v="None"/>
    <s v="Completed"/>
    <s v="Free"/>
    <n v="45"/>
    <s v="Yes"/>
    <x v="5"/>
    <x v="0"/>
    <x v="1"/>
    <x v="1"/>
  </r>
  <r>
    <x v="271"/>
    <x v="266"/>
    <s v="Kingtroy"/>
    <s v="Clash of Realms"/>
    <x v="2"/>
    <x v="4"/>
    <d v="2025-05-03T00:00:00"/>
    <n v="95"/>
    <n v="35.92"/>
    <s v="Skins"/>
    <s v="Exited Early"/>
    <s v="Paid"/>
    <n v="6"/>
    <s v="No"/>
    <x v="5"/>
    <x v="0"/>
    <x v="0"/>
    <x v="0"/>
  </r>
  <r>
    <x v="272"/>
    <x v="267"/>
    <s v="Iyoung"/>
    <s v="Clash of Realms"/>
    <x v="0"/>
    <x v="1"/>
    <d v="2025-05-29T00:00:00"/>
    <n v="111"/>
    <n v="0"/>
    <s v="None"/>
    <s v="Completed"/>
    <s v="Free"/>
    <n v="26"/>
    <s v="No"/>
    <x v="5"/>
    <x v="0"/>
    <x v="1"/>
    <x v="0"/>
  </r>
  <r>
    <x v="273"/>
    <x v="268"/>
    <s v="Smayo"/>
    <s v="Empire Wars"/>
    <x v="0"/>
    <x v="4"/>
    <d v="2025-05-24T00:00:00"/>
    <n v="84"/>
    <n v="0"/>
    <s v="None"/>
    <s v="Completed"/>
    <s v="Free"/>
    <n v="36"/>
    <s v="No"/>
    <x v="5"/>
    <x v="0"/>
    <x v="1"/>
    <x v="0"/>
  </r>
  <r>
    <x v="274"/>
    <x v="269"/>
    <s v="Bakerjohn"/>
    <s v="Empire Wars"/>
    <x v="1"/>
    <x v="3"/>
    <d v="2025-05-22T00:00:00"/>
    <n v="61"/>
    <n v="23.71"/>
    <s v="Battle Pass"/>
    <s v="Completed"/>
    <s v="Paid"/>
    <n v="37"/>
    <s v="No"/>
    <x v="5"/>
    <x v="0"/>
    <x v="0"/>
    <x v="0"/>
  </r>
  <r>
    <x v="275"/>
    <x v="270"/>
    <s v="Sandraclark"/>
    <s v="SpeedX"/>
    <x v="0"/>
    <x v="3"/>
    <d v="2025-05-26T00:00:00"/>
    <n v="105"/>
    <n v="0"/>
    <s v="None"/>
    <s v="Completed"/>
    <s v="Free"/>
    <n v="24"/>
    <s v="No"/>
    <x v="5"/>
    <x v="0"/>
    <x v="1"/>
    <x v="0"/>
  </r>
  <r>
    <x v="276"/>
    <x v="271"/>
    <s v="Snguyen"/>
    <s v="BattleZone"/>
    <x v="2"/>
    <x v="4"/>
    <d v="2025-05-20T00:00:00"/>
    <n v="153"/>
    <n v="0"/>
    <s v="None"/>
    <s v="Completed"/>
    <s v="Free"/>
    <n v="1"/>
    <s v="Yes"/>
    <x v="5"/>
    <x v="0"/>
    <x v="1"/>
    <x v="1"/>
  </r>
  <r>
    <x v="277"/>
    <x v="272"/>
    <s v="Angelicawillis"/>
    <s v="BattleZone"/>
    <x v="0"/>
    <x v="3"/>
    <d v="2025-05-07T00:00:00"/>
    <n v="75"/>
    <n v="0"/>
    <s v="None"/>
    <s v="Completed"/>
    <s v="Free"/>
    <n v="13"/>
    <s v="No"/>
    <x v="5"/>
    <x v="0"/>
    <x v="1"/>
    <x v="0"/>
  </r>
  <r>
    <x v="278"/>
    <x v="273"/>
    <s v="Henryrosales"/>
    <s v="Zombie Rush"/>
    <x v="0"/>
    <x v="3"/>
    <d v="2025-05-11T00:00:00"/>
    <n v="138"/>
    <n v="0"/>
    <s v="None"/>
    <s v="Completed"/>
    <s v="Free"/>
    <n v="47"/>
    <s v="No"/>
    <x v="5"/>
    <x v="0"/>
    <x v="1"/>
    <x v="0"/>
  </r>
  <r>
    <x v="279"/>
    <x v="274"/>
    <s v="Bellraymond"/>
    <s v="Zombie Rush"/>
    <x v="0"/>
    <x v="0"/>
    <d v="2025-05-31T00:00:00"/>
    <n v="143"/>
    <n v="0"/>
    <s v="None"/>
    <s v="Incomplete"/>
    <s v="Free"/>
    <n v="17"/>
    <s v="No"/>
    <x v="5"/>
    <x v="0"/>
    <x v="1"/>
    <x v="0"/>
  </r>
  <r>
    <x v="280"/>
    <x v="275"/>
    <s v="Andrewbrown"/>
    <s v="SpeedX"/>
    <x v="2"/>
    <x v="4"/>
    <d v="2025-05-31T00:00:00"/>
    <n v="97"/>
    <n v="0"/>
    <s v="None"/>
    <s v="Completed"/>
    <s v="Free"/>
    <n v="5"/>
    <s v="No"/>
    <x v="5"/>
    <x v="0"/>
    <x v="1"/>
    <x v="0"/>
  </r>
  <r>
    <x v="281"/>
    <x v="276"/>
    <s v="Lance41"/>
    <s v="Zombie Rush"/>
    <x v="2"/>
    <x v="4"/>
    <d v="2025-05-06T00:00:00"/>
    <n v="71"/>
    <n v="0"/>
    <s v="None"/>
    <s v="Completed"/>
    <s v="Free"/>
    <n v="46"/>
    <s v="No"/>
    <x v="5"/>
    <x v="0"/>
    <x v="1"/>
    <x v="0"/>
  </r>
  <r>
    <x v="282"/>
    <x v="277"/>
    <s v="Howardsamantha"/>
    <s v="Empire Wars"/>
    <x v="1"/>
    <x v="2"/>
    <d v="2025-05-26T00:00:00"/>
    <n v="76"/>
    <n v="37.020000000000003"/>
    <s v="Battle Pass"/>
    <s v="Completed"/>
    <s v="Paid"/>
    <n v="4"/>
    <s v="No"/>
    <x v="5"/>
    <x v="0"/>
    <x v="0"/>
    <x v="0"/>
  </r>
  <r>
    <x v="283"/>
    <x v="278"/>
    <s v="Wjohnson"/>
    <s v="Empire Wars"/>
    <x v="2"/>
    <x v="0"/>
    <d v="2025-05-25T00:00:00"/>
    <n v="98"/>
    <n v="0"/>
    <s v="None"/>
    <s v="Completed"/>
    <s v="Paid"/>
    <n v="30"/>
    <s v="No"/>
    <x v="5"/>
    <x v="0"/>
    <x v="1"/>
    <x v="0"/>
  </r>
  <r>
    <x v="284"/>
    <x v="279"/>
    <s v="Darren53"/>
    <s v="Empire Wars"/>
    <x v="2"/>
    <x v="4"/>
    <d v="2025-05-14T00:00:00"/>
    <n v="85"/>
    <n v="0"/>
    <s v="None"/>
    <s v="Completed"/>
    <s v="Free"/>
    <n v="4"/>
    <s v="No"/>
    <x v="5"/>
    <x v="0"/>
    <x v="1"/>
    <x v="0"/>
  </r>
  <r>
    <x v="285"/>
    <x v="280"/>
    <s v="Nathanielchavez"/>
    <s v="Empire Wars"/>
    <x v="2"/>
    <x v="3"/>
    <d v="2025-05-13T00:00:00"/>
    <n v="135"/>
    <n v="0"/>
    <s v="None"/>
    <s v="Completed"/>
    <s v="Paid"/>
    <n v="42"/>
    <s v="No"/>
    <x v="5"/>
    <x v="0"/>
    <x v="1"/>
    <x v="0"/>
  </r>
  <r>
    <x v="286"/>
    <x v="281"/>
    <s v="Caitlingonzales"/>
    <s v="BattleZone"/>
    <x v="2"/>
    <x v="5"/>
    <d v="2025-05-11T00:00:00"/>
    <n v="109"/>
    <n v="39.869999999999997"/>
    <s v="Boosters"/>
    <s v="Completed"/>
    <s v="Paid"/>
    <n v="13"/>
    <s v="No"/>
    <x v="5"/>
    <x v="0"/>
    <x v="0"/>
    <x v="0"/>
  </r>
  <r>
    <x v="287"/>
    <x v="282"/>
    <s v="Christopher10"/>
    <s v="Zombie Rush"/>
    <x v="2"/>
    <x v="1"/>
    <d v="2025-05-09T00:00:00"/>
    <n v="79"/>
    <n v="20.5"/>
    <s v="Boosters"/>
    <s v="Completed"/>
    <s v="Paid"/>
    <n v="5"/>
    <s v="No"/>
    <x v="5"/>
    <x v="0"/>
    <x v="0"/>
    <x v="0"/>
  </r>
  <r>
    <x v="288"/>
    <x v="283"/>
    <s v="Zhopkins"/>
    <s v="SpeedX"/>
    <x v="1"/>
    <x v="0"/>
    <d v="2025-05-18T00:00:00"/>
    <n v="98"/>
    <n v="27.66"/>
    <s v="Boosters"/>
    <s v="Completed"/>
    <s v="Paid"/>
    <n v="27"/>
    <s v="No"/>
    <x v="5"/>
    <x v="0"/>
    <x v="0"/>
    <x v="0"/>
  </r>
  <r>
    <x v="289"/>
    <x v="284"/>
    <s v="Pottsdavid"/>
    <s v="Zombie Rush"/>
    <x v="2"/>
    <x v="4"/>
    <d v="2025-05-09T00:00:00"/>
    <n v="146"/>
    <n v="43.02"/>
    <s v="Skins"/>
    <s v="Completed"/>
    <s v="Paid"/>
    <n v="24"/>
    <s v="Yes"/>
    <x v="5"/>
    <x v="0"/>
    <x v="0"/>
    <x v="1"/>
  </r>
  <r>
    <x v="290"/>
    <x v="285"/>
    <s v="Mercedesyoung"/>
    <s v="BattleZone"/>
    <x v="0"/>
    <x v="3"/>
    <d v="2025-05-26T00:00:00"/>
    <n v="144"/>
    <n v="0"/>
    <s v="None"/>
    <s v="Exited Early"/>
    <s v="Free"/>
    <n v="18"/>
    <s v="No"/>
    <x v="5"/>
    <x v="0"/>
    <x v="1"/>
    <x v="0"/>
  </r>
  <r>
    <x v="291"/>
    <x v="286"/>
    <s v="Popelance"/>
    <s v="SpeedX"/>
    <x v="2"/>
    <x v="5"/>
    <d v="2025-05-06T00:00:00"/>
    <n v="63"/>
    <n v="0"/>
    <s v="None"/>
    <s v="Completed"/>
    <s v="Free"/>
    <n v="15"/>
    <s v="No"/>
    <x v="5"/>
    <x v="0"/>
    <x v="1"/>
    <x v="0"/>
  </r>
  <r>
    <x v="292"/>
    <x v="287"/>
    <s v="Leestewart"/>
    <s v="Empire Wars"/>
    <x v="1"/>
    <x v="5"/>
    <d v="2025-05-24T00:00:00"/>
    <n v="71"/>
    <n v="0"/>
    <s v="None"/>
    <s v="Completed"/>
    <s v="Paid"/>
    <n v="5"/>
    <s v="No"/>
    <x v="5"/>
    <x v="0"/>
    <x v="1"/>
    <x v="0"/>
  </r>
  <r>
    <x v="293"/>
    <x v="288"/>
    <s v="Iadkins"/>
    <s v="Zombie Rush"/>
    <x v="2"/>
    <x v="3"/>
    <d v="2025-05-27T00:00:00"/>
    <n v="176"/>
    <n v="44.39"/>
    <s v="Battle Pass"/>
    <s v="Completed"/>
    <s v="Paid"/>
    <n v="18"/>
    <s v="Yes"/>
    <x v="5"/>
    <x v="0"/>
    <x v="0"/>
    <x v="1"/>
  </r>
  <r>
    <x v="294"/>
    <x v="289"/>
    <s v="Hardychristopher"/>
    <s v="BattleZone"/>
    <x v="0"/>
    <x v="0"/>
    <d v="2025-05-21T00:00:00"/>
    <n v="104"/>
    <n v="0"/>
    <s v="None"/>
    <s v="Completed"/>
    <s v="Free"/>
    <n v="14"/>
    <s v="No"/>
    <x v="5"/>
    <x v="0"/>
    <x v="1"/>
    <x v="0"/>
  </r>
  <r>
    <x v="295"/>
    <x v="290"/>
    <s v="Tamarafowler"/>
    <s v="Zombie Rush"/>
    <x v="0"/>
    <x v="1"/>
    <d v="2025-05-17T00:00:00"/>
    <n v="122"/>
    <n v="0"/>
    <s v="None"/>
    <s v="Completed"/>
    <s v="Free"/>
    <n v="28"/>
    <s v="No"/>
    <x v="5"/>
    <x v="0"/>
    <x v="1"/>
    <x v="0"/>
  </r>
  <r>
    <x v="296"/>
    <x v="291"/>
    <s v="Angelaramsey"/>
    <s v="BattleZone"/>
    <x v="2"/>
    <x v="5"/>
    <d v="2025-05-30T00:00:00"/>
    <n v="165"/>
    <n v="0"/>
    <s v="None"/>
    <s v="Completed"/>
    <s v="Free"/>
    <n v="15"/>
    <s v="Yes"/>
    <x v="5"/>
    <x v="0"/>
    <x v="1"/>
    <x v="1"/>
  </r>
  <r>
    <x v="297"/>
    <x v="292"/>
    <s v="Cassandrarice"/>
    <s v="Zombie Rush"/>
    <x v="2"/>
    <x v="3"/>
    <d v="2025-05-20T00:00:00"/>
    <n v="164"/>
    <n v="14.33"/>
    <s v="Skins"/>
    <s v="Completed"/>
    <s v="Paid"/>
    <n v="4"/>
    <s v="Yes"/>
    <x v="5"/>
    <x v="0"/>
    <x v="0"/>
    <x v="1"/>
  </r>
  <r>
    <x v="298"/>
    <x v="293"/>
    <s v="Terrychristina"/>
    <s v="Zombie Rush"/>
    <x v="2"/>
    <x v="5"/>
    <d v="2025-05-12T00:00:00"/>
    <n v="168"/>
    <n v="33.729999999999997"/>
    <s v="Battle Pass"/>
    <s v="Completed"/>
    <s v="Paid"/>
    <n v="48"/>
    <s v="Yes"/>
    <x v="5"/>
    <x v="0"/>
    <x v="0"/>
    <x v="1"/>
  </r>
  <r>
    <x v="299"/>
    <x v="294"/>
    <s v="Yrichardson"/>
    <s v="BattleZone"/>
    <x v="1"/>
    <x v="1"/>
    <d v="2025-05-05T00:00:00"/>
    <n v="68"/>
    <n v="0"/>
    <s v="None"/>
    <s v="Completed"/>
    <s v="Free"/>
    <n v="21"/>
    <s v="No"/>
    <x v="5"/>
    <x v="0"/>
    <x v="1"/>
    <x v="0"/>
  </r>
  <r>
    <x v="300"/>
    <x v="295"/>
    <s v="Hornjoshua"/>
    <s v="BattleZone"/>
    <x v="1"/>
    <x v="1"/>
    <d v="2025-05-24T00:00:00"/>
    <n v="155"/>
    <n v="31.24"/>
    <s v="Battle Pass"/>
    <s v="Completed"/>
    <s v="Paid"/>
    <n v="33"/>
    <s v="Yes"/>
    <x v="5"/>
    <x v="0"/>
    <x v="0"/>
    <x v="1"/>
  </r>
  <r>
    <x v="301"/>
    <x v="296"/>
    <s v="Thomas29"/>
    <s v="Clash of Realms"/>
    <x v="0"/>
    <x v="3"/>
    <d v="2025-05-08T00:00:00"/>
    <n v="122"/>
    <n v="40.31"/>
    <s v="Battle Pass"/>
    <s v="Completed"/>
    <s v="Paid"/>
    <n v="33"/>
    <s v="Yes"/>
    <x v="5"/>
    <x v="0"/>
    <x v="0"/>
    <x v="1"/>
  </r>
  <r>
    <x v="302"/>
    <x v="297"/>
    <s v="Jessica34"/>
    <s v="BattleZone"/>
    <x v="2"/>
    <x v="0"/>
    <d v="2025-05-22T00:00:00"/>
    <n v="100"/>
    <n v="0"/>
    <s v="None"/>
    <s v="Completed"/>
    <s v="Free"/>
    <n v="25"/>
    <s v="No"/>
    <x v="5"/>
    <x v="0"/>
    <x v="1"/>
    <x v="0"/>
  </r>
  <r>
    <x v="303"/>
    <x v="298"/>
    <s v="Jonathan53"/>
    <s v="Zombie Rush"/>
    <x v="1"/>
    <x v="4"/>
    <d v="2025-05-24T00:00:00"/>
    <n v="102"/>
    <n v="0"/>
    <s v="None"/>
    <s v="Completed"/>
    <s v="Paid"/>
    <n v="44"/>
    <s v="No"/>
    <x v="5"/>
    <x v="0"/>
    <x v="1"/>
    <x v="0"/>
  </r>
  <r>
    <x v="304"/>
    <x v="299"/>
    <s v="Lcase"/>
    <s v="Empire Wars"/>
    <x v="0"/>
    <x v="0"/>
    <d v="2025-05-16T00:00:00"/>
    <n v="142"/>
    <n v="0"/>
    <s v="None"/>
    <s v="Incomplete"/>
    <s v="Free"/>
    <n v="49"/>
    <s v="No"/>
    <x v="5"/>
    <x v="0"/>
    <x v="1"/>
    <x v="0"/>
  </r>
  <r>
    <x v="305"/>
    <x v="300"/>
    <s v="Isaac85"/>
    <s v="Clash of Realms"/>
    <x v="0"/>
    <x v="0"/>
    <d v="2025-06-12T00:00:00"/>
    <n v="153"/>
    <n v="0"/>
    <s v="None"/>
    <s v="Completed"/>
    <s v="Free"/>
    <n v="18"/>
    <s v="Yes"/>
    <x v="6"/>
    <x v="0"/>
    <x v="1"/>
    <x v="1"/>
  </r>
  <r>
    <x v="306"/>
    <x v="301"/>
    <s v="Dlee"/>
    <s v="SpeedX"/>
    <x v="0"/>
    <x v="5"/>
    <d v="2025-06-10T00:00:00"/>
    <n v="135"/>
    <n v="0"/>
    <s v="None"/>
    <s v="Completed"/>
    <s v="Free"/>
    <n v="12"/>
    <s v="No"/>
    <x v="6"/>
    <x v="0"/>
    <x v="1"/>
    <x v="0"/>
  </r>
  <r>
    <x v="307"/>
    <x v="302"/>
    <s v="Jenniferarnold"/>
    <s v="Zombie Rush"/>
    <x v="1"/>
    <x v="5"/>
    <d v="2025-06-10T00:00:00"/>
    <n v="81"/>
    <n v="10.1"/>
    <s v="Subscriptions"/>
    <s v="Crashed"/>
    <s v="Paid"/>
    <n v="24"/>
    <s v="No"/>
    <x v="6"/>
    <x v="0"/>
    <x v="0"/>
    <x v="0"/>
  </r>
  <r>
    <x v="308"/>
    <x v="303"/>
    <s v="Mbowen"/>
    <s v="Empire Wars"/>
    <x v="1"/>
    <x v="0"/>
    <d v="2025-06-06T00:00:00"/>
    <n v="152"/>
    <n v="0"/>
    <s v="None"/>
    <s v="Completed"/>
    <s v="Free"/>
    <n v="21"/>
    <s v="Yes"/>
    <x v="6"/>
    <x v="0"/>
    <x v="1"/>
    <x v="1"/>
  </r>
  <r>
    <x v="309"/>
    <x v="304"/>
    <s v="Tinapreston"/>
    <s v="BattleZone"/>
    <x v="2"/>
    <x v="3"/>
    <d v="2025-06-03T00:00:00"/>
    <n v="165"/>
    <n v="0"/>
    <s v="None"/>
    <s v="Completed"/>
    <s v="Free"/>
    <n v="41"/>
    <s v="Yes"/>
    <x v="6"/>
    <x v="0"/>
    <x v="1"/>
    <x v="1"/>
  </r>
  <r>
    <x v="310"/>
    <x v="305"/>
    <s v="Nwatkins"/>
    <s v="Empire Wars"/>
    <x v="1"/>
    <x v="0"/>
    <d v="2025-06-12T00:00:00"/>
    <n v="81"/>
    <n v="0"/>
    <s v="None"/>
    <s v="Exited Early"/>
    <s v="Free"/>
    <n v="37"/>
    <s v="No"/>
    <x v="6"/>
    <x v="0"/>
    <x v="1"/>
    <x v="0"/>
  </r>
  <r>
    <x v="311"/>
    <x v="306"/>
    <s v="Justinvargas"/>
    <s v="Clash of Realms"/>
    <x v="2"/>
    <x v="4"/>
    <d v="2025-06-01T00:00:00"/>
    <n v="76"/>
    <n v="0"/>
    <s v="None"/>
    <s v="Completed"/>
    <s v="Free"/>
    <n v="44"/>
    <s v="No"/>
    <x v="6"/>
    <x v="0"/>
    <x v="1"/>
    <x v="0"/>
  </r>
  <r>
    <x v="312"/>
    <x v="288"/>
    <s v="Awise"/>
    <s v="Empire Wars"/>
    <x v="1"/>
    <x v="2"/>
    <d v="2025-06-11T00:00:00"/>
    <n v="153"/>
    <n v="0"/>
    <s v="None"/>
    <s v="Completed"/>
    <s v="Free"/>
    <n v="48"/>
    <s v="Yes"/>
    <x v="6"/>
    <x v="0"/>
    <x v="1"/>
    <x v="1"/>
  </r>
  <r>
    <x v="313"/>
    <x v="307"/>
    <s v="Albertkelly"/>
    <s v="Zombie Rush"/>
    <x v="1"/>
    <x v="5"/>
    <d v="2025-06-11T00:00:00"/>
    <n v="172"/>
    <n v="0"/>
    <s v="None"/>
    <s v="Exited Early"/>
    <s v="Free"/>
    <n v="21"/>
    <s v="Yes"/>
    <x v="6"/>
    <x v="0"/>
    <x v="1"/>
    <x v="1"/>
  </r>
  <r>
    <x v="314"/>
    <x v="308"/>
    <s v="Robert48"/>
    <s v="BattleZone"/>
    <x v="0"/>
    <x v="2"/>
    <d v="2025-06-07T00:00:00"/>
    <n v="128"/>
    <n v="0"/>
    <s v="None"/>
    <s v="Crashed"/>
    <s v="Free"/>
    <n v="32"/>
    <s v="No"/>
    <x v="6"/>
    <x v="0"/>
    <x v="1"/>
    <x v="0"/>
  </r>
  <r>
    <x v="315"/>
    <x v="309"/>
    <s v="Martinrobert"/>
    <s v="Clash of Realms"/>
    <x v="2"/>
    <x v="4"/>
    <d v="2025-06-06T00:00:00"/>
    <n v="137"/>
    <n v="0"/>
    <s v="None"/>
    <s v="Incomplete"/>
    <s v="Free"/>
    <n v="28"/>
    <s v="No"/>
    <x v="6"/>
    <x v="0"/>
    <x v="1"/>
    <x v="0"/>
  </r>
  <r>
    <x v="316"/>
    <x v="310"/>
    <s v="Twashington"/>
    <s v="Empire Wars"/>
    <x v="1"/>
    <x v="1"/>
    <d v="2025-06-13T00:00:00"/>
    <n v="70"/>
    <n v="11.82"/>
    <s v="Battle Pass"/>
    <s v="Completed"/>
    <s v="Paid"/>
    <n v="5"/>
    <s v="No"/>
    <x v="6"/>
    <x v="0"/>
    <x v="0"/>
    <x v="0"/>
  </r>
  <r>
    <x v="317"/>
    <x v="311"/>
    <s v="Weaverdaniel"/>
    <s v="Zombie Rush"/>
    <x v="1"/>
    <x v="4"/>
    <d v="2025-06-08T00:00:00"/>
    <n v="168"/>
    <n v="0"/>
    <s v="None"/>
    <s v="Completed"/>
    <s v="Free"/>
    <n v="18"/>
    <s v="Yes"/>
    <x v="6"/>
    <x v="0"/>
    <x v="1"/>
    <x v="1"/>
  </r>
  <r>
    <x v="318"/>
    <x v="312"/>
    <s v="Lisabarber"/>
    <s v="Clash of Realms"/>
    <x v="2"/>
    <x v="3"/>
    <d v="2025-06-01T00:00:00"/>
    <n v="134"/>
    <n v="0"/>
    <s v="None"/>
    <s v="Completed"/>
    <s v="Free"/>
    <n v="28"/>
    <s v="No"/>
    <x v="6"/>
    <x v="0"/>
    <x v="1"/>
    <x v="0"/>
  </r>
  <r>
    <x v="319"/>
    <x v="313"/>
    <s v="Alexandermoore"/>
    <s v="SpeedX"/>
    <x v="0"/>
    <x v="4"/>
    <d v="2025-06-09T00:00:00"/>
    <n v="93"/>
    <n v="0"/>
    <s v="None"/>
    <s v="Completed"/>
    <s v="Free"/>
    <n v="21"/>
    <s v="No"/>
    <x v="6"/>
    <x v="0"/>
    <x v="1"/>
    <x v="0"/>
  </r>
  <r>
    <x v="320"/>
    <x v="314"/>
    <s v="Bharris"/>
    <s v="SpeedX"/>
    <x v="1"/>
    <x v="1"/>
    <d v="2025-06-03T00:00:00"/>
    <n v="128"/>
    <n v="0"/>
    <s v="None"/>
    <s v="Completed"/>
    <s v="Paid"/>
    <n v="29"/>
    <s v="No"/>
    <x v="6"/>
    <x v="0"/>
    <x v="1"/>
    <x v="0"/>
  </r>
  <r>
    <x v="321"/>
    <x v="315"/>
    <s v="Ruizkimberly"/>
    <s v="SpeedX"/>
    <x v="0"/>
    <x v="0"/>
    <d v="2025-06-11T00:00:00"/>
    <n v="73"/>
    <n v="0"/>
    <s v="None"/>
    <s v="Completed"/>
    <s v="Free"/>
    <n v="11"/>
    <s v="No"/>
    <x v="6"/>
    <x v="0"/>
    <x v="1"/>
    <x v="0"/>
  </r>
  <r>
    <x v="322"/>
    <x v="316"/>
    <s v="Murrayaaron"/>
    <s v="Zombie Rush"/>
    <x v="2"/>
    <x v="1"/>
    <d v="2025-06-07T00:00:00"/>
    <n v="144"/>
    <n v="40.29"/>
    <s v="Subscriptions"/>
    <s v="Exited Early"/>
    <s v="Paid"/>
    <n v="1"/>
    <s v="Yes"/>
    <x v="6"/>
    <x v="0"/>
    <x v="0"/>
    <x v="1"/>
  </r>
  <r>
    <x v="323"/>
    <x v="317"/>
    <s v="Dfloyd"/>
    <s v="Empire Wars"/>
    <x v="0"/>
    <x v="1"/>
    <d v="2025-06-02T00:00:00"/>
    <n v="128"/>
    <n v="0"/>
    <s v="None"/>
    <s v="Completed"/>
    <s v="Free"/>
    <n v="15"/>
    <s v="No"/>
    <x v="6"/>
    <x v="0"/>
    <x v="1"/>
    <x v="0"/>
  </r>
  <r>
    <x v="324"/>
    <x v="318"/>
    <s v="Ryan43"/>
    <s v="BattleZone"/>
    <x v="2"/>
    <x v="2"/>
    <d v="2025-06-03T00:00:00"/>
    <n v="85"/>
    <n v="0"/>
    <s v="None"/>
    <s v="Exited Early"/>
    <s v="Free"/>
    <n v="24"/>
    <s v="No"/>
    <x v="6"/>
    <x v="0"/>
    <x v="1"/>
    <x v="0"/>
  </r>
  <r>
    <x v="325"/>
    <x v="319"/>
    <s v="Owenssherry"/>
    <s v="Clash of Realms"/>
    <x v="2"/>
    <x v="1"/>
    <d v="2025-06-04T00:00:00"/>
    <n v="139"/>
    <n v="0"/>
    <s v="None"/>
    <s v="Completed"/>
    <s v="Free"/>
    <n v="1"/>
    <s v="No"/>
    <x v="6"/>
    <x v="0"/>
    <x v="1"/>
    <x v="0"/>
  </r>
  <r>
    <x v="326"/>
    <x v="320"/>
    <m/>
    <m/>
    <x v="3"/>
    <x v="6"/>
    <m/>
    <m/>
    <m/>
    <m/>
    <m/>
    <m/>
    <m/>
    <m/>
    <x v="7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5" cacheId="1" applyNumberFormats="0" applyBorderFormats="0" applyFontFormats="0" applyPatternFormats="0" applyAlignmentFormats="0" applyWidthHeightFormats="1" dataCaption="Values" updatedVersion="8" minRefreshableVersion="3" useAutoFormatting="1" createdVersion="7" indent="0" outline="1" outlineData="1" multipleFieldFilters="0" chartFormat="8">
  <location ref="F15:I18" firstHeaderRow="1" firstDataRow="2" firstDataCol="1"/>
  <pivotFields count="18">
    <pivotField showAll="0">
      <items count="328">
        <item x="100"/>
        <item x="0"/>
        <item x="305"/>
        <item x="235"/>
        <item x="188"/>
        <item x="236"/>
        <item x="189"/>
        <item x="143"/>
        <item x="238"/>
        <item x="144"/>
        <item x="37"/>
        <item x="38"/>
        <item x="39"/>
        <item x="102"/>
        <item x="240"/>
        <item x="241"/>
        <item x="145"/>
        <item x="147"/>
        <item x="242"/>
        <item x="103"/>
        <item x="306"/>
        <item x="104"/>
        <item x="105"/>
        <item x="149"/>
        <item x="192"/>
        <item x="150"/>
        <item x="244"/>
        <item x="106"/>
        <item x="40"/>
        <item x="41"/>
        <item x="108"/>
        <item x="110"/>
        <item x="43"/>
        <item x="1"/>
        <item x="151"/>
        <item x="249"/>
        <item x="250"/>
        <item x="193"/>
        <item x="194"/>
        <item x="251"/>
        <item x="153"/>
        <item x="45"/>
        <item x="307"/>
        <item x="308"/>
        <item x="46"/>
        <item x="309"/>
        <item x="47"/>
        <item x="48"/>
        <item x="310"/>
        <item x="49"/>
        <item x="253"/>
        <item x="50"/>
        <item x="195"/>
        <item x="112"/>
        <item x="154"/>
        <item x="254"/>
        <item x="155"/>
        <item x="158"/>
        <item x="4"/>
        <item x="53"/>
        <item x="311"/>
        <item x="197"/>
        <item x="5"/>
        <item x="159"/>
        <item x="255"/>
        <item x="114"/>
        <item x="115"/>
        <item x="6"/>
        <item x="160"/>
        <item x="256"/>
        <item x="54"/>
        <item x="257"/>
        <item x="258"/>
        <item x="55"/>
        <item x="161"/>
        <item x="312"/>
        <item x="260"/>
        <item x="8"/>
        <item x="261"/>
        <item x="10"/>
        <item x="199"/>
        <item x="263"/>
        <item x="264"/>
        <item x="57"/>
        <item x="11"/>
        <item x="58"/>
        <item x="313"/>
        <item x="59"/>
        <item x="314"/>
        <item x="60"/>
        <item x="266"/>
        <item x="13"/>
        <item x="14"/>
        <item x="200"/>
        <item x="61"/>
        <item x="267"/>
        <item x="202"/>
        <item x="315"/>
        <item x="203"/>
        <item x="62"/>
        <item x="204"/>
        <item x="15"/>
        <item x="205"/>
        <item x="64"/>
        <item x="118"/>
        <item x="66"/>
        <item x="163"/>
        <item x="268"/>
        <item x="120"/>
        <item x="207"/>
        <item x="269"/>
        <item x="164"/>
        <item x="270"/>
        <item x="209"/>
        <item x="165"/>
        <item x="317"/>
        <item x="210"/>
        <item x="19"/>
        <item x="121"/>
        <item x="122"/>
        <item x="272"/>
        <item x="71"/>
        <item x="273"/>
        <item x="166"/>
        <item x="274"/>
        <item x="211"/>
        <item x="127"/>
        <item x="276"/>
        <item x="72"/>
        <item x="20"/>
        <item x="278"/>
        <item x="280"/>
        <item x="213"/>
        <item x="283"/>
        <item x="284"/>
        <item x="285"/>
        <item x="21"/>
        <item x="169"/>
        <item x="319"/>
        <item x="75"/>
        <item x="23"/>
        <item x="170"/>
        <item x="216"/>
        <item x="76"/>
        <item x="217"/>
        <item x="77"/>
        <item x="78"/>
        <item x="79"/>
        <item x="80"/>
        <item x="288"/>
        <item x="289"/>
        <item x="25"/>
        <item x="219"/>
        <item x="131"/>
        <item x="81"/>
        <item x="221"/>
        <item x="82"/>
        <item x="290"/>
        <item x="222"/>
        <item x="83"/>
        <item x="84"/>
        <item x="224"/>
        <item x="133"/>
        <item x="26"/>
        <item x="27"/>
        <item x="225"/>
        <item x="28"/>
        <item x="87"/>
        <item x="322"/>
        <item x="293"/>
        <item x="29"/>
        <item x="88"/>
        <item x="323"/>
        <item x="295"/>
        <item x="226"/>
        <item x="174"/>
        <item x="89"/>
        <item x="227"/>
        <item x="175"/>
        <item x="176"/>
        <item x="177"/>
        <item x="136"/>
        <item x="137"/>
        <item x="90"/>
        <item x="178"/>
        <item x="228"/>
        <item x="138"/>
        <item x="324"/>
        <item x="139"/>
        <item x="179"/>
        <item x="31"/>
        <item x="230"/>
        <item x="297"/>
        <item x="91"/>
        <item x="180"/>
        <item x="299"/>
        <item x="32"/>
        <item x="92"/>
        <item x="140"/>
        <item x="232"/>
        <item x="300"/>
        <item x="301"/>
        <item x="182"/>
        <item x="233"/>
        <item x="141"/>
        <item x="325"/>
        <item x="94"/>
        <item x="95"/>
        <item x="184"/>
        <item x="234"/>
        <item x="185"/>
        <item x="96"/>
        <item x="186"/>
        <item x="97"/>
        <item x="98"/>
        <item x="99"/>
        <item x="33"/>
        <item x="34"/>
        <item x="187"/>
        <item x="304"/>
        <item x="303"/>
        <item x="302"/>
        <item x="183"/>
        <item x="93"/>
        <item x="181"/>
        <item x="231"/>
        <item x="298"/>
        <item x="30"/>
        <item x="229"/>
        <item x="296"/>
        <item x="173"/>
        <item x="172"/>
        <item x="294"/>
        <item x="135"/>
        <item x="292"/>
        <item x="134"/>
        <item x="291"/>
        <item x="321"/>
        <item x="86"/>
        <item x="85"/>
        <item x="223"/>
        <item x="132"/>
        <item x="220"/>
        <item x="130"/>
        <item x="171"/>
        <item x="218"/>
        <item x="24"/>
        <item x="320"/>
        <item x="287"/>
        <item x="22"/>
        <item x="215"/>
        <item x="286"/>
        <item x="168"/>
        <item x="214"/>
        <item x="74"/>
        <item x="73"/>
        <item x="318"/>
        <item x="282"/>
        <item x="281"/>
        <item x="279"/>
        <item x="129"/>
        <item x="167"/>
        <item x="277"/>
        <item x="128"/>
        <item x="212"/>
        <item x="275"/>
        <item x="126"/>
        <item x="125"/>
        <item x="124"/>
        <item x="123"/>
        <item x="70"/>
        <item x="69"/>
        <item x="271"/>
        <item x="18"/>
        <item x="208"/>
        <item x="206"/>
        <item x="17"/>
        <item x="119"/>
        <item x="68"/>
        <item x="67"/>
        <item x="316"/>
        <item x="65"/>
        <item x="16"/>
        <item x="63"/>
        <item x="162"/>
        <item x="201"/>
        <item x="12"/>
        <item x="117"/>
        <item x="265"/>
        <item x="116"/>
        <item x="262"/>
        <item x="56"/>
        <item x="9"/>
        <item x="259"/>
        <item x="7"/>
        <item x="198"/>
        <item x="196"/>
        <item x="157"/>
        <item x="113"/>
        <item x="52"/>
        <item x="156"/>
        <item x="3"/>
        <item x="51"/>
        <item x="111"/>
        <item x="252"/>
        <item x="152"/>
        <item x="2"/>
        <item x="248"/>
        <item x="44"/>
        <item x="247"/>
        <item x="109"/>
        <item x="42"/>
        <item x="246"/>
        <item x="245"/>
        <item x="107"/>
        <item x="243"/>
        <item x="148"/>
        <item x="191"/>
        <item x="146"/>
        <item x="190"/>
        <item x="239"/>
        <item x="237"/>
        <item x="142"/>
        <item x="36"/>
        <item x="101"/>
        <item x="35"/>
        <item x="326"/>
        <item t="default"/>
      </items>
    </pivotField>
    <pivotField dataField="1" showAll="0">
      <items count="322">
        <item x="177"/>
        <item x="203"/>
        <item x="211"/>
        <item x="35"/>
        <item x="190"/>
        <item x="115"/>
        <item x="110"/>
        <item x="87"/>
        <item x="244"/>
        <item x="165"/>
        <item x="311"/>
        <item x="98"/>
        <item x="194"/>
        <item x="18"/>
        <item x="101"/>
        <item x="129"/>
        <item x="140"/>
        <item x="8"/>
        <item x="260"/>
        <item x="15"/>
        <item x="168"/>
        <item x="279"/>
        <item x="117"/>
        <item x="54"/>
        <item x="296"/>
        <item x="235"/>
        <item x="187"/>
        <item x="153"/>
        <item x="20"/>
        <item x="24"/>
        <item x="152"/>
        <item x="218"/>
        <item x="32"/>
        <item x="287"/>
        <item x="7"/>
        <item x="78"/>
        <item x="294"/>
        <item x="200"/>
        <item x="42"/>
        <item x="11"/>
        <item x="97"/>
        <item x="88"/>
        <item x="288"/>
        <item x="292"/>
        <item x="41"/>
        <item x="13"/>
        <item x="164"/>
        <item x="191"/>
        <item x="184"/>
        <item x="172"/>
        <item x="160"/>
        <item x="34"/>
        <item x="199"/>
        <item x="263"/>
        <item x="179"/>
        <item x="133"/>
        <item x="63"/>
        <item x="249"/>
        <item x="269"/>
        <item x="123"/>
        <item x="303"/>
        <item x="118"/>
        <item x="253"/>
        <item x="281"/>
        <item x="237"/>
        <item x="10"/>
        <item x="219"/>
        <item x="274"/>
        <item x="299"/>
        <item x="247"/>
        <item x="150"/>
        <item x="75"/>
        <item x="44"/>
        <item x="300"/>
        <item x="96"/>
        <item x="14"/>
        <item x="149"/>
        <item x="197"/>
        <item x="256"/>
        <item x="268"/>
        <item x="182"/>
        <item x="298"/>
        <item x="156"/>
        <item x="196"/>
        <item x="192"/>
        <item x="2"/>
        <item x="111"/>
        <item x="70"/>
        <item x="278"/>
        <item x="241"/>
        <item x="53"/>
        <item x="318"/>
        <item x="49"/>
        <item x="147"/>
        <item x="206"/>
        <item x="270"/>
        <item x="290"/>
        <item x="45"/>
        <item x="100"/>
        <item x="106"/>
        <item x="23"/>
        <item x="104"/>
        <item x="280"/>
        <item x="188"/>
        <item x="40"/>
        <item x="146"/>
        <item x="81"/>
        <item x="315"/>
        <item x="262"/>
        <item x="25"/>
        <item x="259"/>
        <item x="116"/>
        <item x="166"/>
        <item x="231"/>
        <item x="52"/>
        <item x="71"/>
        <item x="264"/>
        <item x="204"/>
        <item x="301"/>
        <item x="31"/>
        <item x="205"/>
        <item x="267"/>
        <item x="309"/>
        <item x="22"/>
        <item x="113"/>
        <item x="105"/>
        <item x="138"/>
        <item x="131"/>
        <item x="28"/>
        <item x="178"/>
        <item x="215"/>
        <item x="77"/>
        <item x="277"/>
        <item x="180"/>
        <item x="143"/>
        <item x="120"/>
        <item x="121"/>
        <item x="84"/>
        <item x="198"/>
        <item x="103"/>
        <item x="310"/>
        <item x="171"/>
        <item x="183"/>
        <item x="89"/>
        <item x="308"/>
        <item x="189"/>
        <item x="169"/>
        <item x="227"/>
        <item x="319"/>
        <item x="220"/>
        <item x="43"/>
        <item x="271"/>
        <item x="93"/>
        <item x="250"/>
        <item x="38"/>
        <item x="39"/>
        <item x="69"/>
        <item x="251"/>
        <item x="313"/>
        <item x="107"/>
        <item x="108"/>
        <item x="4"/>
        <item x="66"/>
        <item x="240"/>
        <item x="193"/>
        <item x="90"/>
        <item x="151"/>
        <item x="33"/>
        <item x="236"/>
        <item x="5"/>
        <item x="3"/>
        <item x="282"/>
        <item x="208"/>
        <item x="73"/>
        <item x="285"/>
        <item x="214"/>
        <item x="99"/>
        <item x="293"/>
        <item x="141"/>
        <item x="94"/>
        <item x="213"/>
        <item x="302"/>
        <item x="306"/>
        <item x="238"/>
        <item x="225"/>
        <item x="162"/>
        <item x="48"/>
        <item x="130"/>
        <item x="266"/>
        <item x="122"/>
        <item x="59"/>
        <item x="9"/>
        <item x="312"/>
        <item x="64"/>
        <item x="297"/>
        <item x="27"/>
        <item x="148"/>
        <item x="112"/>
        <item x="102"/>
        <item x="181"/>
        <item x="29"/>
        <item x="142"/>
        <item x="261"/>
        <item x="158"/>
        <item x="229"/>
        <item x="126"/>
        <item x="72"/>
        <item x="207"/>
        <item x="224"/>
        <item x="21"/>
        <item x="128"/>
        <item x="233"/>
        <item x="74"/>
        <item x="127"/>
        <item x="223"/>
        <item x="82"/>
        <item x="26"/>
        <item x="221"/>
        <item x="57"/>
        <item x="79"/>
        <item x="135"/>
        <item x="16"/>
        <item x="155"/>
        <item x="185"/>
        <item x="62"/>
        <item x="283"/>
        <item x="210"/>
        <item x="186"/>
        <item x="254"/>
        <item x="174"/>
        <item x="222"/>
        <item x="246"/>
        <item x="316"/>
        <item x="19"/>
        <item x="245"/>
        <item x="114"/>
        <item x="175"/>
        <item x="195"/>
        <item x="167"/>
        <item x="202"/>
        <item x="36"/>
        <item x="230"/>
        <item x="239"/>
        <item x="132"/>
        <item x="305"/>
        <item x="273"/>
        <item x="86"/>
        <item x="161"/>
        <item x="134"/>
        <item x="145"/>
        <item x="125"/>
        <item x="176"/>
        <item x="67"/>
        <item x="6"/>
        <item x="1"/>
        <item x="212"/>
        <item x="139"/>
        <item x="284"/>
        <item x="136"/>
        <item x="92"/>
        <item x="295"/>
        <item x="209"/>
        <item x="47"/>
        <item x="65"/>
        <item x="51"/>
        <item x="170"/>
        <item x="258"/>
        <item x="68"/>
        <item x="119"/>
        <item x="173"/>
        <item x="248"/>
        <item x="232"/>
        <item x="217"/>
        <item x="55"/>
        <item x="50"/>
        <item x="83"/>
        <item x="91"/>
        <item x="265"/>
        <item x="307"/>
        <item x="85"/>
        <item x="228"/>
        <item x="289"/>
        <item x="276"/>
        <item x="144"/>
        <item x="12"/>
        <item x="163"/>
        <item x="201"/>
        <item x="272"/>
        <item x="17"/>
        <item x="30"/>
        <item x="95"/>
        <item x="61"/>
        <item x="76"/>
        <item x="124"/>
        <item x="291"/>
        <item x="226"/>
        <item x="216"/>
        <item x="252"/>
        <item x="56"/>
        <item x="58"/>
        <item x="317"/>
        <item x="80"/>
        <item x="60"/>
        <item x="46"/>
        <item x="255"/>
        <item x="286"/>
        <item x="243"/>
        <item x="154"/>
        <item x="109"/>
        <item x="242"/>
        <item x="157"/>
        <item x="37"/>
        <item x="159"/>
        <item x="137"/>
        <item x="275"/>
        <item x="257"/>
        <item x="234"/>
        <item x="0"/>
        <item x="314"/>
        <item x="304"/>
        <item x="320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5"/>
  </rowFields>
  <rowItems count="2">
    <i>
      <x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Player ID" fld="1" subtotal="count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4" cacheId="1" applyNumberFormats="0" applyBorderFormats="0" applyFontFormats="0" applyPatternFormats="0" applyAlignmentFormats="0" applyWidthHeightFormats="1" dataCaption="Values" updatedVersion="8" minRefreshableVersion="3" useAutoFormatting="1" createdVersion="7" indent="0" outline="1" outlineData="1" multipleFieldFilters="0" chartFormat="6">
  <location ref="A15:D24" firstHeaderRow="1" firstDataRow="2" firstDataCol="1"/>
  <pivotFields count="18">
    <pivotField showAll="0">
      <items count="328">
        <item x="100"/>
        <item x="0"/>
        <item x="305"/>
        <item x="235"/>
        <item x="188"/>
        <item x="236"/>
        <item x="189"/>
        <item x="143"/>
        <item x="238"/>
        <item x="144"/>
        <item x="37"/>
        <item x="38"/>
        <item x="39"/>
        <item x="102"/>
        <item x="240"/>
        <item x="241"/>
        <item x="145"/>
        <item x="147"/>
        <item x="242"/>
        <item x="103"/>
        <item x="306"/>
        <item x="104"/>
        <item x="105"/>
        <item x="149"/>
        <item x="192"/>
        <item x="150"/>
        <item x="244"/>
        <item x="106"/>
        <item x="40"/>
        <item x="41"/>
        <item x="108"/>
        <item x="110"/>
        <item x="43"/>
        <item x="1"/>
        <item x="151"/>
        <item x="249"/>
        <item x="250"/>
        <item x="193"/>
        <item x="194"/>
        <item x="251"/>
        <item x="153"/>
        <item x="45"/>
        <item x="307"/>
        <item x="308"/>
        <item x="46"/>
        <item x="309"/>
        <item x="47"/>
        <item x="48"/>
        <item x="310"/>
        <item x="49"/>
        <item x="253"/>
        <item x="50"/>
        <item x="195"/>
        <item x="112"/>
        <item x="154"/>
        <item x="254"/>
        <item x="155"/>
        <item x="158"/>
        <item x="4"/>
        <item x="53"/>
        <item x="311"/>
        <item x="197"/>
        <item x="5"/>
        <item x="159"/>
        <item x="255"/>
        <item x="114"/>
        <item x="115"/>
        <item x="6"/>
        <item x="160"/>
        <item x="256"/>
        <item x="54"/>
        <item x="257"/>
        <item x="258"/>
        <item x="55"/>
        <item x="161"/>
        <item x="312"/>
        <item x="260"/>
        <item x="8"/>
        <item x="261"/>
        <item x="10"/>
        <item x="199"/>
        <item x="263"/>
        <item x="264"/>
        <item x="57"/>
        <item x="11"/>
        <item x="58"/>
        <item x="313"/>
        <item x="59"/>
        <item x="314"/>
        <item x="60"/>
        <item x="266"/>
        <item x="13"/>
        <item x="14"/>
        <item x="200"/>
        <item x="61"/>
        <item x="267"/>
        <item x="202"/>
        <item x="315"/>
        <item x="203"/>
        <item x="62"/>
        <item x="204"/>
        <item x="15"/>
        <item x="205"/>
        <item x="64"/>
        <item x="118"/>
        <item x="66"/>
        <item x="163"/>
        <item x="268"/>
        <item x="120"/>
        <item x="207"/>
        <item x="269"/>
        <item x="164"/>
        <item x="270"/>
        <item x="209"/>
        <item x="165"/>
        <item x="317"/>
        <item x="210"/>
        <item x="19"/>
        <item x="121"/>
        <item x="122"/>
        <item x="272"/>
        <item x="71"/>
        <item x="273"/>
        <item x="166"/>
        <item x="274"/>
        <item x="211"/>
        <item x="127"/>
        <item x="276"/>
        <item x="72"/>
        <item x="20"/>
        <item x="278"/>
        <item x="280"/>
        <item x="213"/>
        <item x="283"/>
        <item x="284"/>
        <item x="285"/>
        <item x="21"/>
        <item x="169"/>
        <item x="319"/>
        <item x="75"/>
        <item x="23"/>
        <item x="170"/>
        <item x="216"/>
        <item x="76"/>
        <item x="217"/>
        <item x="77"/>
        <item x="78"/>
        <item x="79"/>
        <item x="80"/>
        <item x="288"/>
        <item x="289"/>
        <item x="25"/>
        <item x="219"/>
        <item x="131"/>
        <item x="81"/>
        <item x="221"/>
        <item x="82"/>
        <item x="290"/>
        <item x="222"/>
        <item x="83"/>
        <item x="84"/>
        <item x="224"/>
        <item x="133"/>
        <item x="26"/>
        <item x="27"/>
        <item x="225"/>
        <item x="28"/>
        <item x="87"/>
        <item x="322"/>
        <item x="293"/>
        <item x="29"/>
        <item x="88"/>
        <item x="323"/>
        <item x="295"/>
        <item x="226"/>
        <item x="174"/>
        <item x="89"/>
        <item x="227"/>
        <item x="175"/>
        <item x="176"/>
        <item x="177"/>
        <item x="136"/>
        <item x="137"/>
        <item x="90"/>
        <item x="178"/>
        <item x="228"/>
        <item x="138"/>
        <item x="324"/>
        <item x="139"/>
        <item x="179"/>
        <item x="31"/>
        <item x="230"/>
        <item x="297"/>
        <item x="91"/>
        <item x="180"/>
        <item x="299"/>
        <item x="32"/>
        <item x="92"/>
        <item x="140"/>
        <item x="232"/>
        <item x="300"/>
        <item x="301"/>
        <item x="182"/>
        <item x="233"/>
        <item x="141"/>
        <item x="325"/>
        <item x="94"/>
        <item x="95"/>
        <item x="184"/>
        <item x="234"/>
        <item x="185"/>
        <item x="96"/>
        <item x="186"/>
        <item x="97"/>
        <item x="98"/>
        <item x="99"/>
        <item x="33"/>
        <item x="34"/>
        <item x="187"/>
        <item x="304"/>
        <item x="303"/>
        <item x="302"/>
        <item x="183"/>
        <item x="93"/>
        <item x="181"/>
        <item x="231"/>
        <item x="298"/>
        <item x="30"/>
        <item x="229"/>
        <item x="296"/>
        <item x="173"/>
        <item x="172"/>
        <item x="294"/>
        <item x="135"/>
        <item x="292"/>
        <item x="134"/>
        <item x="291"/>
        <item x="321"/>
        <item x="86"/>
        <item x="85"/>
        <item x="223"/>
        <item x="132"/>
        <item x="220"/>
        <item x="130"/>
        <item x="171"/>
        <item x="218"/>
        <item x="24"/>
        <item x="320"/>
        <item x="287"/>
        <item x="22"/>
        <item x="215"/>
        <item x="286"/>
        <item x="168"/>
        <item x="214"/>
        <item x="74"/>
        <item x="73"/>
        <item x="318"/>
        <item x="282"/>
        <item x="281"/>
        <item x="279"/>
        <item x="129"/>
        <item x="167"/>
        <item x="277"/>
        <item x="128"/>
        <item x="212"/>
        <item x="275"/>
        <item x="126"/>
        <item x="125"/>
        <item x="124"/>
        <item x="123"/>
        <item x="70"/>
        <item x="69"/>
        <item x="271"/>
        <item x="18"/>
        <item x="208"/>
        <item x="206"/>
        <item x="17"/>
        <item x="119"/>
        <item x="68"/>
        <item x="67"/>
        <item x="316"/>
        <item x="65"/>
        <item x="16"/>
        <item x="63"/>
        <item x="162"/>
        <item x="201"/>
        <item x="12"/>
        <item x="117"/>
        <item x="265"/>
        <item x="116"/>
        <item x="262"/>
        <item x="56"/>
        <item x="9"/>
        <item x="259"/>
        <item x="7"/>
        <item x="198"/>
        <item x="196"/>
        <item x="157"/>
        <item x="113"/>
        <item x="52"/>
        <item x="156"/>
        <item x="3"/>
        <item x="51"/>
        <item x="111"/>
        <item x="252"/>
        <item x="152"/>
        <item x="2"/>
        <item x="248"/>
        <item x="44"/>
        <item x="247"/>
        <item x="109"/>
        <item x="42"/>
        <item x="246"/>
        <item x="245"/>
        <item x="107"/>
        <item x="243"/>
        <item x="148"/>
        <item x="191"/>
        <item x="146"/>
        <item x="190"/>
        <item x="239"/>
        <item x="237"/>
        <item x="142"/>
        <item x="36"/>
        <item x="101"/>
        <item x="35"/>
        <item x="326"/>
        <item t="default"/>
      </items>
    </pivotField>
    <pivotField dataField="1" showAll="0">
      <items count="322">
        <item x="177"/>
        <item x="203"/>
        <item x="211"/>
        <item x="35"/>
        <item x="190"/>
        <item x="115"/>
        <item x="110"/>
        <item x="87"/>
        <item x="244"/>
        <item x="165"/>
        <item x="311"/>
        <item x="98"/>
        <item x="194"/>
        <item x="18"/>
        <item x="101"/>
        <item x="129"/>
        <item x="140"/>
        <item x="8"/>
        <item x="260"/>
        <item x="15"/>
        <item x="168"/>
        <item x="279"/>
        <item x="117"/>
        <item x="54"/>
        <item x="296"/>
        <item x="235"/>
        <item x="187"/>
        <item x="153"/>
        <item x="20"/>
        <item x="24"/>
        <item x="152"/>
        <item x="218"/>
        <item x="32"/>
        <item x="287"/>
        <item x="7"/>
        <item x="78"/>
        <item x="294"/>
        <item x="200"/>
        <item x="42"/>
        <item x="11"/>
        <item x="97"/>
        <item x="88"/>
        <item x="288"/>
        <item x="292"/>
        <item x="41"/>
        <item x="13"/>
        <item x="164"/>
        <item x="191"/>
        <item x="184"/>
        <item x="172"/>
        <item x="160"/>
        <item x="34"/>
        <item x="199"/>
        <item x="263"/>
        <item x="179"/>
        <item x="133"/>
        <item x="63"/>
        <item x="249"/>
        <item x="269"/>
        <item x="123"/>
        <item x="303"/>
        <item x="118"/>
        <item x="253"/>
        <item x="281"/>
        <item x="237"/>
        <item x="10"/>
        <item x="219"/>
        <item x="274"/>
        <item x="299"/>
        <item x="247"/>
        <item x="150"/>
        <item x="75"/>
        <item x="44"/>
        <item x="300"/>
        <item x="96"/>
        <item x="14"/>
        <item x="149"/>
        <item x="197"/>
        <item x="256"/>
        <item x="268"/>
        <item x="182"/>
        <item x="298"/>
        <item x="156"/>
        <item x="196"/>
        <item x="192"/>
        <item x="2"/>
        <item x="111"/>
        <item x="70"/>
        <item x="278"/>
        <item x="241"/>
        <item x="53"/>
        <item x="318"/>
        <item x="49"/>
        <item x="147"/>
        <item x="206"/>
        <item x="270"/>
        <item x="290"/>
        <item x="45"/>
        <item x="100"/>
        <item x="106"/>
        <item x="23"/>
        <item x="104"/>
        <item x="280"/>
        <item x="188"/>
        <item x="40"/>
        <item x="146"/>
        <item x="81"/>
        <item x="315"/>
        <item x="262"/>
        <item x="25"/>
        <item x="259"/>
        <item x="116"/>
        <item x="166"/>
        <item x="231"/>
        <item x="52"/>
        <item x="71"/>
        <item x="264"/>
        <item x="204"/>
        <item x="301"/>
        <item x="31"/>
        <item x="205"/>
        <item x="267"/>
        <item x="309"/>
        <item x="22"/>
        <item x="113"/>
        <item x="105"/>
        <item x="138"/>
        <item x="131"/>
        <item x="28"/>
        <item x="178"/>
        <item x="215"/>
        <item x="77"/>
        <item x="277"/>
        <item x="180"/>
        <item x="143"/>
        <item x="120"/>
        <item x="121"/>
        <item x="84"/>
        <item x="198"/>
        <item x="103"/>
        <item x="310"/>
        <item x="171"/>
        <item x="183"/>
        <item x="89"/>
        <item x="308"/>
        <item x="189"/>
        <item x="169"/>
        <item x="227"/>
        <item x="319"/>
        <item x="220"/>
        <item x="43"/>
        <item x="271"/>
        <item x="93"/>
        <item x="250"/>
        <item x="38"/>
        <item x="39"/>
        <item x="69"/>
        <item x="251"/>
        <item x="313"/>
        <item x="107"/>
        <item x="108"/>
        <item x="4"/>
        <item x="66"/>
        <item x="240"/>
        <item x="193"/>
        <item x="90"/>
        <item x="151"/>
        <item x="33"/>
        <item x="236"/>
        <item x="5"/>
        <item x="3"/>
        <item x="282"/>
        <item x="208"/>
        <item x="73"/>
        <item x="285"/>
        <item x="214"/>
        <item x="99"/>
        <item x="293"/>
        <item x="141"/>
        <item x="94"/>
        <item x="213"/>
        <item x="302"/>
        <item x="306"/>
        <item x="238"/>
        <item x="225"/>
        <item x="162"/>
        <item x="48"/>
        <item x="130"/>
        <item x="266"/>
        <item x="122"/>
        <item x="59"/>
        <item x="9"/>
        <item x="312"/>
        <item x="64"/>
        <item x="297"/>
        <item x="27"/>
        <item x="148"/>
        <item x="112"/>
        <item x="102"/>
        <item x="181"/>
        <item x="29"/>
        <item x="142"/>
        <item x="261"/>
        <item x="158"/>
        <item x="229"/>
        <item x="126"/>
        <item x="72"/>
        <item x="207"/>
        <item x="224"/>
        <item x="21"/>
        <item x="128"/>
        <item x="233"/>
        <item x="74"/>
        <item x="127"/>
        <item x="223"/>
        <item x="82"/>
        <item x="26"/>
        <item x="221"/>
        <item x="57"/>
        <item x="79"/>
        <item x="135"/>
        <item x="16"/>
        <item x="155"/>
        <item x="185"/>
        <item x="62"/>
        <item x="283"/>
        <item x="210"/>
        <item x="186"/>
        <item x="254"/>
        <item x="174"/>
        <item x="222"/>
        <item x="246"/>
        <item x="316"/>
        <item x="19"/>
        <item x="245"/>
        <item x="114"/>
        <item x="175"/>
        <item x="195"/>
        <item x="167"/>
        <item x="202"/>
        <item x="36"/>
        <item x="230"/>
        <item x="239"/>
        <item x="132"/>
        <item x="305"/>
        <item x="273"/>
        <item x="86"/>
        <item x="161"/>
        <item x="134"/>
        <item x="145"/>
        <item x="125"/>
        <item x="176"/>
        <item x="67"/>
        <item x="6"/>
        <item x="1"/>
        <item x="212"/>
        <item x="139"/>
        <item x="284"/>
        <item x="136"/>
        <item x="92"/>
        <item x="295"/>
        <item x="209"/>
        <item x="47"/>
        <item x="65"/>
        <item x="51"/>
        <item x="170"/>
        <item x="258"/>
        <item x="68"/>
        <item x="119"/>
        <item x="173"/>
        <item x="248"/>
        <item x="232"/>
        <item x="217"/>
        <item x="55"/>
        <item x="50"/>
        <item x="83"/>
        <item x="91"/>
        <item x="265"/>
        <item x="307"/>
        <item x="85"/>
        <item x="228"/>
        <item x="289"/>
        <item x="276"/>
        <item x="144"/>
        <item x="12"/>
        <item x="163"/>
        <item x="201"/>
        <item x="272"/>
        <item x="17"/>
        <item x="30"/>
        <item x="95"/>
        <item x="61"/>
        <item x="76"/>
        <item x="124"/>
        <item x="291"/>
        <item x="226"/>
        <item x="216"/>
        <item x="252"/>
        <item x="56"/>
        <item x="58"/>
        <item x="317"/>
        <item x="80"/>
        <item x="60"/>
        <item x="46"/>
        <item x="255"/>
        <item x="286"/>
        <item x="243"/>
        <item x="154"/>
        <item x="109"/>
        <item x="242"/>
        <item x="157"/>
        <item x="37"/>
        <item x="159"/>
        <item x="137"/>
        <item x="275"/>
        <item x="257"/>
        <item x="234"/>
        <item x="0"/>
        <item x="314"/>
        <item x="304"/>
        <item x="320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axis="axisCol" showAll="0">
      <items count="4">
        <item x="1"/>
        <item x="0"/>
        <item h="1" x="2"/>
        <item t="default"/>
      </items>
    </pivotField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Player ID" fld="1" subtotal="count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2" cacheId="1" applyNumberFormats="0" applyBorderFormats="0" applyFontFormats="0" applyPatternFormats="0" applyAlignmentFormats="0" applyWidthHeightFormats="1" dataCaption="Values" updatedVersion="8" minRefreshableVersion="3" useAutoFormatting="1" createdVersion="7" indent="0" outline="1" outlineData="1" multipleFieldFilters="0" chartFormat="14">
  <location ref="D3:E5" firstHeaderRow="1" firstDataRow="1" firstDataCol="1"/>
  <pivotFields count="18">
    <pivotField showAll="0">
      <items count="328">
        <item x="100"/>
        <item x="0"/>
        <item x="305"/>
        <item x="235"/>
        <item x="188"/>
        <item x="236"/>
        <item x="189"/>
        <item x="143"/>
        <item x="238"/>
        <item x="144"/>
        <item x="37"/>
        <item x="38"/>
        <item x="39"/>
        <item x="102"/>
        <item x="240"/>
        <item x="241"/>
        <item x="145"/>
        <item x="147"/>
        <item x="242"/>
        <item x="103"/>
        <item x="306"/>
        <item x="104"/>
        <item x="105"/>
        <item x="149"/>
        <item x="192"/>
        <item x="150"/>
        <item x="244"/>
        <item x="106"/>
        <item x="40"/>
        <item x="41"/>
        <item x="108"/>
        <item x="110"/>
        <item x="43"/>
        <item x="1"/>
        <item x="151"/>
        <item x="249"/>
        <item x="250"/>
        <item x="193"/>
        <item x="194"/>
        <item x="251"/>
        <item x="153"/>
        <item x="45"/>
        <item x="307"/>
        <item x="308"/>
        <item x="46"/>
        <item x="309"/>
        <item x="47"/>
        <item x="48"/>
        <item x="310"/>
        <item x="49"/>
        <item x="253"/>
        <item x="50"/>
        <item x="195"/>
        <item x="112"/>
        <item x="154"/>
        <item x="254"/>
        <item x="155"/>
        <item x="158"/>
        <item x="4"/>
        <item x="53"/>
        <item x="311"/>
        <item x="197"/>
        <item x="5"/>
        <item x="159"/>
        <item x="255"/>
        <item x="114"/>
        <item x="115"/>
        <item x="6"/>
        <item x="160"/>
        <item x="256"/>
        <item x="54"/>
        <item x="257"/>
        <item x="258"/>
        <item x="55"/>
        <item x="161"/>
        <item x="312"/>
        <item x="260"/>
        <item x="8"/>
        <item x="261"/>
        <item x="10"/>
        <item x="199"/>
        <item x="263"/>
        <item x="264"/>
        <item x="57"/>
        <item x="11"/>
        <item x="58"/>
        <item x="313"/>
        <item x="59"/>
        <item x="314"/>
        <item x="60"/>
        <item x="266"/>
        <item x="13"/>
        <item x="14"/>
        <item x="200"/>
        <item x="61"/>
        <item x="267"/>
        <item x="202"/>
        <item x="315"/>
        <item x="203"/>
        <item x="62"/>
        <item x="204"/>
        <item x="15"/>
        <item x="205"/>
        <item x="64"/>
        <item x="118"/>
        <item x="66"/>
        <item x="163"/>
        <item x="268"/>
        <item x="120"/>
        <item x="207"/>
        <item x="269"/>
        <item x="164"/>
        <item x="270"/>
        <item x="209"/>
        <item x="165"/>
        <item x="317"/>
        <item x="210"/>
        <item x="19"/>
        <item x="121"/>
        <item x="122"/>
        <item x="272"/>
        <item x="71"/>
        <item x="273"/>
        <item x="166"/>
        <item x="274"/>
        <item x="211"/>
        <item x="127"/>
        <item x="276"/>
        <item x="72"/>
        <item x="20"/>
        <item x="278"/>
        <item x="280"/>
        <item x="213"/>
        <item x="283"/>
        <item x="284"/>
        <item x="285"/>
        <item x="21"/>
        <item x="169"/>
        <item x="319"/>
        <item x="75"/>
        <item x="23"/>
        <item x="170"/>
        <item x="216"/>
        <item x="76"/>
        <item x="217"/>
        <item x="77"/>
        <item x="78"/>
        <item x="79"/>
        <item x="80"/>
        <item x="288"/>
        <item x="289"/>
        <item x="25"/>
        <item x="219"/>
        <item x="131"/>
        <item x="81"/>
        <item x="221"/>
        <item x="82"/>
        <item x="290"/>
        <item x="222"/>
        <item x="83"/>
        <item x="84"/>
        <item x="224"/>
        <item x="133"/>
        <item x="26"/>
        <item x="27"/>
        <item x="225"/>
        <item x="28"/>
        <item x="87"/>
        <item x="322"/>
        <item x="293"/>
        <item x="29"/>
        <item x="88"/>
        <item x="323"/>
        <item x="295"/>
        <item x="226"/>
        <item x="174"/>
        <item x="89"/>
        <item x="227"/>
        <item x="175"/>
        <item x="176"/>
        <item x="177"/>
        <item x="136"/>
        <item x="137"/>
        <item x="90"/>
        <item x="178"/>
        <item x="228"/>
        <item x="138"/>
        <item x="324"/>
        <item x="139"/>
        <item x="179"/>
        <item x="31"/>
        <item x="230"/>
        <item x="297"/>
        <item x="91"/>
        <item x="180"/>
        <item x="299"/>
        <item x="32"/>
        <item x="92"/>
        <item x="140"/>
        <item x="232"/>
        <item x="300"/>
        <item x="301"/>
        <item x="182"/>
        <item x="233"/>
        <item x="141"/>
        <item x="325"/>
        <item x="94"/>
        <item x="95"/>
        <item x="184"/>
        <item x="234"/>
        <item x="185"/>
        <item x="96"/>
        <item x="186"/>
        <item x="97"/>
        <item x="98"/>
        <item x="99"/>
        <item x="33"/>
        <item x="34"/>
        <item x="187"/>
        <item x="304"/>
        <item x="303"/>
        <item x="302"/>
        <item x="183"/>
        <item x="93"/>
        <item x="181"/>
        <item x="231"/>
        <item x="298"/>
        <item x="30"/>
        <item x="229"/>
        <item x="296"/>
        <item x="173"/>
        <item x="172"/>
        <item x="294"/>
        <item x="135"/>
        <item x="292"/>
        <item x="134"/>
        <item x="291"/>
        <item x="321"/>
        <item x="86"/>
        <item x="85"/>
        <item x="223"/>
        <item x="132"/>
        <item x="220"/>
        <item x="130"/>
        <item x="171"/>
        <item x="218"/>
        <item x="24"/>
        <item x="320"/>
        <item x="287"/>
        <item x="22"/>
        <item x="215"/>
        <item x="286"/>
        <item x="168"/>
        <item x="214"/>
        <item x="74"/>
        <item x="73"/>
        <item x="318"/>
        <item x="282"/>
        <item x="281"/>
        <item x="279"/>
        <item x="129"/>
        <item x="167"/>
        <item x="277"/>
        <item x="128"/>
        <item x="212"/>
        <item x="275"/>
        <item x="126"/>
        <item x="125"/>
        <item x="124"/>
        <item x="123"/>
        <item x="70"/>
        <item x="69"/>
        <item x="271"/>
        <item x="18"/>
        <item x="208"/>
        <item x="206"/>
        <item x="17"/>
        <item x="119"/>
        <item x="68"/>
        <item x="67"/>
        <item x="316"/>
        <item x="65"/>
        <item x="16"/>
        <item x="63"/>
        <item x="162"/>
        <item x="201"/>
        <item x="12"/>
        <item x="117"/>
        <item x="265"/>
        <item x="116"/>
        <item x="262"/>
        <item x="56"/>
        <item x="9"/>
        <item x="259"/>
        <item x="7"/>
        <item x="198"/>
        <item x="196"/>
        <item x="157"/>
        <item x="113"/>
        <item x="52"/>
        <item x="156"/>
        <item x="3"/>
        <item x="51"/>
        <item x="111"/>
        <item x="252"/>
        <item x="152"/>
        <item x="2"/>
        <item x="248"/>
        <item x="44"/>
        <item x="247"/>
        <item x="109"/>
        <item x="42"/>
        <item x="246"/>
        <item x="245"/>
        <item x="107"/>
        <item x="243"/>
        <item x="148"/>
        <item x="191"/>
        <item x="146"/>
        <item x="190"/>
        <item x="239"/>
        <item x="237"/>
        <item x="142"/>
        <item x="36"/>
        <item x="101"/>
        <item x="35"/>
        <item x="326"/>
        <item t="default"/>
      </items>
    </pivotField>
    <pivotField dataField="1" showAll="0">
      <items count="322">
        <item x="177"/>
        <item x="203"/>
        <item x="211"/>
        <item x="35"/>
        <item x="190"/>
        <item x="115"/>
        <item x="110"/>
        <item x="87"/>
        <item x="244"/>
        <item x="165"/>
        <item x="311"/>
        <item x="98"/>
        <item x="194"/>
        <item x="18"/>
        <item x="101"/>
        <item x="129"/>
        <item x="140"/>
        <item x="8"/>
        <item x="260"/>
        <item x="15"/>
        <item x="168"/>
        <item x="279"/>
        <item x="117"/>
        <item x="54"/>
        <item x="296"/>
        <item x="235"/>
        <item x="187"/>
        <item x="153"/>
        <item x="20"/>
        <item x="24"/>
        <item x="152"/>
        <item x="218"/>
        <item x="32"/>
        <item x="287"/>
        <item x="7"/>
        <item x="78"/>
        <item x="294"/>
        <item x="200"/>
        <item x="42"/>
        <item x="11"/>
        <item x="97"/>
        <item x="88"/>
        <item x="288"/>
        <item x="292"/>
        <item x="41"/>
        <item x="13"/>
        <item x="164"/>
        <item x="191"/>
        <item x="184"/>
        <item x="172"/>
        <item x="160"/>
        <item x="34"/>
        <item x="199"/>
        <item x="263"/>
        <item x="179"/>
        <item x="133"/>
        <item x="63"/>
        <item x="249"/>
        <item x="269"/>
        <item x="123"/>
        <item x="303"/>
        <item x="118"/>
        <item x="253"/>
        <item x="281"/>
        <item x="237"/>
        <item x="10"/>
        <item x="219"/>
        <item x="274"/>
        <item x="299"/>
        <item x="247"/>
        <item x="150"/>
        <item x="75"/>
        <item x="44"/>
        <item x="300"/>
        <item x="96"/>
        <item x="14"/>
        <item x="149"/>
        <item x="197"/>
        <item x="256"/>
        <item x="268"/>
        <item x="182"/>
        <item x="298"/>
        <item x="156"/>
        <item x="196"/>
        <item x="192"/>
        <item x="2"/>
        <item x="111"/>
        <item x="70"/>
        <item x="278"/>
        <item x="241"/>
        <item x="53"/>
        <item x="318"/>
        <item x="49"/>
        <item x="147"/>
        <item x="206"/>
        <item x="270"/>
        <item x="290"/>
        <item x="45"/>
        <item x="100"/>
        <item x="106"/>
        <item x="23"/>
        <item x="104"/>
        <item x="280"/>
        <item x="188"/>
        <item x="40"/>
        <item x="146"/>
        <item x="81"/>
        <item x="315"/>
        <item x="262"/>
        <item x="25"/>
        <item x="259"/>
        <item x="116"/>
        <item x="166"/>
        <item x="231"/>
        <item x="52"/>
        <item x="71"/>
        <item x="264"/>
        <item x="204"/>
        <item x="301"/>
        <item x="31"/>
        <item x="205"/>
        <item x="267"/>
        <item x="309"/>
        <item x="22"/>
        <item x="113"/>
        <item x="105"/>
        <item x="138"/>
        <item x="131"/>
        <item x="28"/>
        <item x="178"/>
        <item x="215"/>
        <item x="77"/>
        <item x="277"/>
        <item x="180"/>
        <item x="143"/>
        <item x="120"/>
        <item x="121"/>
        <item x="84"/>
        <item x="198"/>
        <item x="103"/>
        <item x="310"/>
        <item x="171"/>
        <item x="183"/>
        <item x="89"/>
        <item x="308"/>
        <item x="189"/>
        <item x="169"/>
        <item x="227"/>
        <item x="319"/>
        <item x="220"/>
        <item x="43"/>
        <item x="271"/>
        <item x="93"/>
        <item x="250"/>
        <item x="38"/>
        <item x="39"/>
        <item x="69"/>
        <item x="251"/>
        <item x="313"/>
        <item x="107"/>
        <item x="108"/>
        <item x="4"/>
        <item x="66"/>
        <item x="240"/>
        <item x="193"/>
        <item x="90"/>
        <item x="151"/>
        <item x="33"/>
        <item x="236"/>
        <item x="5"/>
        <item x="3"/>
        <item x="282"/>
        <item x="208"/>
        <item x="73"/>
        <item x="285"/>
        <item x="214"/>
        <item x="99"/>
        <item x="293"/>
        <item x="141"/>
        <item x="94"/>
        <item x="213"/>
        <item x="302"/>
        <item x="306"/>
        <item x="238"/>
        <item x="225"/>
        <item x="162"/>
        <item x="48"/>
        <item x="130"/>
        <item x="266"/>
        <item x="122"/>
        <item x="59"/>
        <item x="9"/>
        <item x="312"/>
        <item x="64"/>
        <item x="297"/>
        <item x="27"/>
        <item x="148"/>
        <item x="112"/>
        <item x="102"/>
        <item x="181"/>
        <item x="29"/>
        <item x="142"/>
        <item x="261"/>
        <item x="158"/>
        <item x="229"/>
        <item x="126"/>
        <item x="72"/>
        <item x="207"/>
        <item x="224"/>
        <item x="21"/>
        <item x="128"/>
        <item x="233"/>
        <item x="74"/>
        <item x="127"/>
        <item x="223"/>
        <item x="82"/>
        <item x="26"/>
        <item x="221"/>
        <item x="57"/>
        <item x="79"/>
        <item x="135"/>
        <item x="16"/>
        <item x="155"/>
        <item x="185"/>
        <item x="62"/>
        <item x="283"/>
        <item x="210"/>
        <item x="186"/>
        <item x="254"/>
        <item x="174"/>
        <item x="222"/>
        <item x="246"/>
        <item x="316"/>
        <item x="19"/>
        <item x="245"/>
        <item x="114"/>
        <item x="175"/>
        <item x="195"/>
        <item x="167"/>
        <item x="202"/>
        <item x="36"/>
        <item x="230"/>
        <item x="239"/>
        <item x="132"/>
        <item x="305"/>
        <item x="273"/>
        <item x="86"/>
        <item x="161"/>
        <item x="134"/>
        <item x="145"/>
        <item x="125"/>
        <item x="176"/>
        <item x="67"/>
        <item x="6"/>
        <item x="1"/>
        <item x="212"/>
        <item x="139"/>
        <item x="284"/>
        <item x="136"/>
        <item x="92"/>
        <item x="295"/>
        <item x="209"/>
        <item x="47"/>
        <item x="65"/>
        <item x="51"/>
        <item x="170"/>
        <item x="258"/>
        <item x="68"/>
        <item x="119"/>
        <item x="173"/>
        <item x="248"/>
        <item x="232"/>
        <item x="217"/>
        <item x="55"/>
        <item x="50"/>
        <item x="83"/>
        <item x="91"/>
        <item x="265"/>
        <item x="307"/>
        <item x="85"/>
        <item x="228"/>
        <item x="289"/>
        <item x="276"/>
        <item x="144"/>
        <item x="12"/>
        <item x="163"/>
        <item x="201"/>
        <item x="272"/>
        <item x="17"/>
        <item x="30"/>
        <item x="95"/>
        <item x="61"/>
        <item x="76"/>
        <item x="124"/>
        <item x="291"/>
        <item x="226"/>
        <item x="216"/>
        <item x="252"/>
        <item x="56"/>
        <item x="58"/>
        <item x="317"/>
        <item x="80"/>
        <item x="60"/>
        <item x="46"/>
        <item x="255"/>
        <item x="286"/>
        <item x="243"/>
        <item x="154"/>
        <item x="109"/>
        <item x="242"/>
        <item x="157"/>
        <item x="37"/>
        <item x="159"/>
        <item x="137"/>
        <item x="275"/>
        <item x="257"/>
        <item x="234"/>
        <item x="0"/>
        <item x="314"/>
        <item x="304"/>
        <item x="320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</pivotFields>
  <rowFields count="1">
    <field x="15"/>
  </rowFields>
  <rowItems count="2">
    <i>
      <x/>
    </i>
    <i t="grand">
      <x/>
    </i>
  </rowItems>
  <colItems count="1">
    <i/>
  </colItems>
  <dataFields count="1">
    <dataField name="Count of Player ID" fld="1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createdVersion="7" indent="0" outline="1" outlineData="1" multipleFieldFilters="0" chartFormat="7">
  <location ref="H3:I6" firstHeaderRow="1" firstDataRow="1" firstDataCol="1"/>
  <pivotFields count="18">
    <pivotField showAll="0">
      <items count="328">
        <item x="100"/>
        <item x="0"/>
        <item x="305"/>
        <item x="235"/>
        <item x="188"/>
        <item x="236"/>
        <item x="189"/>
        <item x="143"/>
        <item x="238"/>
        <item x="144"/>
        <item x="37"/>
        <item x="38"/>
        <item x="39"/>
        <item x="102"/>
        <item x="240"/>
        <item x="241"/>
        <item x="145"/>
        <item x="147"/>
        <item x="242"/>
        <item x="103"/>
        <item x="306"/>
        <item x="104"/>
        <item x="105"/>
        <item x="149"/>
        <item x="192"/>
        <item x="150"/>
        <item x="244"/>
        <item x="106"/>
        <item x="40"/>
        <item x="41"/>
        <item x="108"/>
        <item x="110"/>
        <item x="43"/>
        <item x="1"/>
        <item x="151"/>
        <item x="249"/>
        <item x="250"/>
        <item x="193"/>
        <item x="194"/>
        <item x="251"/>
        <item x="153"/>
        <item x="45"/>
        <item x="307"/>
        <item x="308"/>
        <item x="46"/>
        <item x="309"/>
        <item x="47"/>
        <item x="48"/>
        <item x="310"/>
        <item x="49"/>
        <item x="253"/>
        <item x="50"/>
        <item x="195"/>
        <item x="112"/>
        <item x="154"/>
        <item x="254"/>
        <item x="155"/>
        <item x="158"/>
        <item x="4"/>
        <item x="53"/>
        <item x="311"/>
        <item x="197"/>
        <item x="5"/>
        <item x="159"/>
        <item x="255"/>
        <item x="114"/>
        <item x="115"/>
        <item x="6"/>
        <item x="160"/>
        <item x="256"/>
        <item x="54"/>
        <item x="257"/>
        <item x="258"/>
        <item x="55"/>
        <item x="161"/>
        <item x="312"/>
        <item x="260"/>
        <item x="8"/>
        <item x="261"/>
        <item x="10"/>
        <item x="199"/>
        <item x="263"/>
        <item x="264"/>
        <item x="57"/>
        <item x="11"/>
        <item x="58"/>
        <item x="313"/>
        <item x="59"/>
        <item x="314"/>
        <item x="60"/>
        <item x="266"/>
        <item x="13"/>
        <item x="14"/>
        <item x="200"/>
        <item x="61"/>
        <item x="267"/>
        <item x="202"/>
        <item x="315"/>
        <item x="203"/>
        <item x="62"/>
        <item x="204"/>
        <item x="15"/>
        <item x="205"/>
        <item x="64"/>
        <item x="118"/>
        <item x="66"/>
        <item x="163"/>
        <item x="268"/>
        <item x="120"/>
        <item x="207"/>
        <item x="269"/>
        <item x="164"/>
        <item x="270"/>
        <item x="209"/>
        <item x="165"/>
        <item x="317"/>
        <item x="210"/>
        <item x="19"/>
        <item x="121"/>
        <item x="122"/>
        <item x="272"/>
        <item x="71"/>
        <item x="273"/>
        <item x="166"/>
        <item x="274"/>
        <item x="211"/>
        <item x="127"/>
        <item x="276"/>
        <item x="72"/>
        <item x="20"/>
        <item x="278"/>
        <item x="280"/>
        <item x="213"/>
        <item x="283"/>
        <item x="284"/>
        <item x="285"/>
        <item x="21"/>
        <item x="169"/>
        <item x="319"/>
        <item x="75"/>
        <item x="23"/>
        <item x="170"/>
        <item x="216"/>
        <item x="76"/>
        <item x="217"/>
        <item x="77"/>
        <item x="78"/>
        <item x="79"/>
        <item x="80"/>
        <item x="288"/>
        <item x="289"/>
        <item x="25"/>
        <item x="219"/>
        <item x="131"/>
        <item x="81"/>
        <item x="221"/>
        <item x="82"/>
        <item x="290"/>
        <item x="222"/>
        <item x="83"/>
        <item x="84"/>
        <item x="224"/>
        <item x="133"/>
        <item x="26"/>
        <item x="27"/>
        <item x="225"/>
        <item x="28"/>
        <item x="87"/>
        <item x="322"/>
        <item x="293"/>
        <item x="29"/>
        <item x="88"/>
        <item x="323"/>
        <item x="295"/>
        <item x="226"/>
        <item x="174"/>
        <item x="89"/>
        <item x="227"/>
        <item x="175"/>
        <item x="176"/>
        <item x="177"/>
        <item x="136"/>
        <item x="137"/>
        <item x="90"/>
        <item x="178"/>
        <item x="228"/>
        <item x="138"/>
        <item x="324"/>
        <item x="139"/>
        <item x="179"/>
        <item x="31"/>
        <item x="230"/>
        <item x="297"/>
        <item x="91"/>
        <item x="180"/>
        <item x="299"/>
        <item x="32"/>
        <item x="92"/>
        <item x="140"/>
        <item x="232"/>
        <item x="300"/>
        <item x="301"/>
        <item x="182"/>
        <item x="233"/>
        <item x="141"/>
        <item x="325"/>
        <item x="94"/>
        <item x="95"/>
        <item x="184"/>
        <item x="234"/>
        <item x="185"/>
        <item x="96"/>
        <item x="186"/>
        <item x="97"/>
        <item x="98"/>
        <item x="99"/>
        <item x="33"/>
        <item x="34"/>
        <item x="187"/>
        <item x="304"/>
        <item x="303"/>
        <item x="302"/>
        <item x="183"/>
        <item x="93"/>
        <item x="181"/>
        <item x="231"/>
        <item x="298"/>
        <item x="30"/>
        <item x="229"/>
        <item x="296"/>
        <item x="173"/>
        <item x="172"/>
        <item x="294"/>
        <item x="135"/>
        <item x="292"/>
        <item x="134"/>
        <item x="291"/>
        <item x="321"/>
        <item x="86"/>
        <item x="85"/>
        <item x="223"/>
        <item x="132"/>
        <item x="220"/>
        <item x="130"/>
        <item x="171"/>
        <item x="218"/>
        <item x="24"/>
        <item x="320"/>
        <item x="287"/>
        <item x="22"/>
        <item x="215"/>
        <item x="286"/>
        <item x="168"/>
        <item x="214"/>
        <item x="74"/>
        <item x="73"/>
        <item x="318"/>
        <item x="282"/>
        <item x="281"/>
        <item x="279"/>
        <item x="129"/>
        <item x="167"/>
        <item x="277"/>
        <item x="128"/>
        <item x="212"/>
        <item x="275"/>
        <item x="126"/>
        <item x="125"/>
        <item x="124"/>
        <item x="123"/>
        <item x="70"/>
        <item x="69"/>
        <item x="271"/>
        <item x="18"/>
        <item x="208"/>
        <item x="206"/>
        <item x="17"/>
        <item x="119"/>
        <item x="68"/>
        <item x="67"/>
        <item x="316"/>
        <item x="65"/>
        <item x="16"/>
        <item x="63"/>
        <item x="162"/>
        <item x="201"/>
        <item x="12"/>
        <item x="117"/>
        <item x="265"/>
        <item x="116"/>
        <item x="262"/>
        <item x="56"/>
        <item x="9"/>
        <item x="259"/>
        <item x="7"/>
        <item x="198"/>
        <item x="196"/>
        <item x="157"/>
        <item x="113"/>
        <item x="52"/>
        <item x="156"/>
        <item x="3"/>
        <item x="51"/>
        <item x="111"/>
        <item x="252"/>
        <item x="152"/>
        <item x="2"/>
        <item x="248"/>
        <item x="44"/>
        <item x="247"/>
        <item x="109"/>
        <item x="42"/>
        <item x="246"/>
        <item x="245"/>
        <item x="107"/>
        <item x="243"/>
        <item x="148"/>
        <item x="191"/>
        <item x="146"/>
        <item x="190"/>
        <item x="239"/>
        <item x="237"/>
        <item x="142"/>
        <item x="36"/>
        <item x="101"/>
        <item x="35"/>
        <item x="326"/>
        <item t="default"/>
      </items>
    </pivotField>
    <pivotField dataField="1" showAll="0">
      <items count="322">
        <item x="177"/>
        <item x="203"/>
        <item x="211"/>
        <item x="35"/>
        <item x="190"/>
        <item x="115"/>
        <item x="110"/>
        <item x="87"/>
        <item x="244"/>
        <item x="165"/>
        <item x="311"/>
        <item x="98"/>
        <item x="194"/>
        <item x="18"/>
        <item x="101"/>
        <item x="129"/>
        <item x="140"/>
        <item x="8"/>
        <item x="260"/>
        <item x="15"/>
        <item x="168"/>
        <item x="279"/>
        <item x="117"/>
        <item x="54"/>
        <item x="296"/>
        <item x="235"/>
        <item x="187"/>
        <item x="153"/>
        <item x="20"/>
        <item x="24"/>
        <item x="152"/>
        <item x="218"/>
        <item x="32"/>
        <item x="287"/>
        <item x="7"/>
        <item x="78"/>
        <item x="294"/>
        <item x="200"/>
        <item x="42"/>
        <item x="11"/>
        <item x="97"/>
        <item x="88"/>
        <item x="288"/>
        <item x="292"/>
        <item x="41"/>
        <item x="13"/>
        <item x="164"/>
        <item x="191"/>
        <item x="184"/>
        <item x="172"/>
        <item x="160"/>
        <item x="34"/>
        <item x="199"/>
        <item x="263"/>
        <item x="179"/>
        <item x="133"/>
        <item x="63"/>
        <item x="249"/>
        <item x="269"/>
        <item x="123"/>
        <item x="303"/>
        <item x="118"/>
        <item x="253"/>
        <item x="281"/>
        <item x="237"/>
        <item x="10"/>
        <item x="219"/>
        <item x="274"/>
        <item x="299"/>
        <item x="247"/>
        <item x="150"/>
        <item x="75"/>
        <item x="44"/>
        <item x="300"/>
        <item x="96"/>
        <item x="14"/>
        <item x="149"/>
        <item x="197"/>
        <item x="256"/>
        <item x="268"/>
        <item x="182"/>
        <item x="298"/>
        <item x="156"/>
        <item x="196"/>
        <item x="192"/>
        <item x="2"/>
        <item x="111"/>
        <item x="70"/>
        <item x="278"/>
        <item x="241"/>
        <item x="53"/>
        <item x="318"/>
        <item x="49"/>
        <item x="147"/>
        <item x="206"/>
        <item x="270"/>
        <item x="290"/>
        <item x="45"/>
        <item x="100"/>
        <item x="106"/>
        <item x="23"/>
        <item x="104"/>
        <item x="280"/>
        <item x="188"/>
        <item x="40"/>
        <item x="146"/>
        <item x="81"/>
        <item x="315"/>
        <item x="262"/>
        <item x="25"/>
        <item x="259"/>
        <item x="116"/>
        <item x="166"/>
        <item x="231"/>
        <item x="52"/>
        <item x="71"/>
        <item x="264"/>
        <item x="204"/>
        <item x="301"/>
        <item x="31"/>
        <item x="205"/>
        <item x="267"/>
        <item x="309"/>
        <item x="22"/>
        <item x="113"/>
        <item x="105"/>
        <item x="138"/>
        <item x="131"/>
        <item x="28"/>
        <item x="178"/>
        <item x="215"/>
        <item x="77"/>
        <item x="277"/>
        <item x="180"/>
        <item x="143"/>
        <item x="120"/>
        <item x="121"/>
        <item x="84"/>
        <item x="198"/>
        <item x="103"/>
        <item x="310"/>
        <item x="171"/>
        <item x="183"/>
        <item x="89"/>
        <item x="308"/>
        <item x="189"/>
        <item x="169"/>
        <item x="227"/>
        <item x="319"/>
        <item x="220"/>
        <item x="43"/>
        <item x="271"/>
        <item x="93"/>
        <item x="250"/>
        <item x="38"/>
        <item x="39"/>
        <item x="69"/>
        <item x="251"/>
        <item x="313"/>
        <item x="107"/>
        <item x="108"/>
        <item x="4"/>
        <item x="66"/>
        <item x="240"/>
        <item x="193"/>
        <item x="90"/>
        <item x="151"/>
        <item x="33"/>
        <item x="236"/>
        <item x="5"/>
        <item x="3"/>
        <item x="282"/>
        <item x="208"/>
        <item x="73"/>
        <item x="285"/>
        <item x="214"/>
        <item x="99"/>
        <item x="293"/>
        <item x="141"/>
        <item x="94"/>
        <item x="213"/>
        <item x="302"/>
        <item x="306"/>
        <item x="238"/>
        <item x="225"/>
        <item x="162"/>
        <item x="48"/>
        <item x="130"/>
        <item x="266"/>
        <item x="122"/>
        <item x="59"/>
        <item x="9"/>
        <item x="312"/>
        <item x="64"/>
        <item x="297"/>
        <item x="27"/>
        <item x="148"/>
        <item x="112"/>
        <item x="102"/>
        <item x="181"/>
        <item x="29"/>
        <item x="142"/>
        <item x="261"/>
        <item x="158"/>
        <item x="229"/>
        <item x="126"/>
        <item x="72"/>
        <item x="207"/>
        <item x="224"/>
        <item x="21"/>
        <item x="128"/>
        <item x="233"/>
        <item x="74"/>
        <item x="127"/>
        <item x="223"/>
        <item x="82"/>
        <item x="26"/>
        <item x="221"/>
        <item x="57"/>
        <item x="79"/>
        <item x="135"/>
        <item x="16"/>
        <item x="155"/>
        <item x="185"/>
        <item x="62"/>
        <item x="283"/>
        <item x="210"/>
        <item x="186"/>
        <item x="254"/>
        <item x="174"/>
        <item x="222"/>
        <item x="246"/>
        <item x="316"/>
        <item x="19"/>
        <item x="245"/>
        <item x="114"/>
        <item x="175"/>
        <item x="195"/>
        <item x="167"/>
        <item x="202"/>
        <item x="36"/>
        <item x="230"/>
        <item x="239"/>
        <item x="132"/>
        <item x="305"/>
        <item x="273"/>
        <item x="86"/>
        <item x="161"/>
        <item x="134"/>
        <item x="145"/>
        <item x="125"/>
        <item x="176"/>
        <item x="67"/>
        <item x="6"/>
        <item x="1"/>
        <item x="212"/>
        <item x="139"/>
        <item x="284"/>
        <item x="136"/>
        <item x="92"/>
        <item x="295"/>
        <item x="209"/>
        <item x="47"/>
        <item x="65"/>
        <item x="51"/>
        <item x="170"/>
        <item x="258"/>
        <item x="68"/>
        <item x="119"/>
        <item x="173"/>
        <item x="248"/>
        <item x="232"/>
        <item x="217"/>
        <item x="55"/>
        <item x="50"/>
        <item x="83"/>
        <item x="91"/>
        <item x="265"/>
        <item x="307"/>
        <item x="85"/>
        <item x="228"/>
        <item x="289"/>
        <item x="276"/>
        <item x="144"/>
        <item x="12"/>
        <item x="163"/>
        <item x="201"/>
        <item x="272"/>
        <item x="17"/>
        <item x="30"/>
        <item x="95"/>
        <item x="61"/>
        <item x="76"/>
        <item x="124"/>
        <item x="291"/>
        <item x="226"/>
        <item x="216"/>
        <item x="252"/>
        <item x="56"/>
        <item x="58"/>
        <item x="317"/>
        <item x="80"/>
        <item x="60"/>
        <item x="46"/>
        <item x="255"/>
        <item x="286"/>
        <item x="243"/>
        <item x="154"/>
        <item x="109"/>
        <item x="242"/>
        <item x="157"/>
        <item x="37"/>
        <item x="159"/>
        <item x="137"/>
        <item x="275"/>
        <item x="257"/>
        <item x="234"/>
        <item x="0"/>
        <item x="314"/>
        <item x="304"/>
        <item x="320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Player ID" fld="1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7" indent="0" outline="1" outlineData="1" multipleFieldFilters="0" chartFormat="21">
  <location ref="A3:B11" firstHeaderRow="1" firstDataRow="1" firstDataCol="1"/>
  <pivotFields count="18"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layer ID" fld="1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6" cacheId="1" applyNumberFormats="0" applyBorderFormats="0" applyFontFormats="0" applyPatternFormats="0" applyAlignmentFormats="0" applyWidthHeightFormats="1" dataCaption="Values" updatedVersion="8" minRefreshableVersion="3" useAutoFormatting="1" createdVersion="7" indent="0" outline="1" outlineData="1" multipleFieldFilters="0" chartFormat="15">
  <location ref="L15:O24" firstHeaderRow="1" firstDataRow="2" firstDataCol="1"/>
  <pivotFields count="18">
    <pivotField showAll="0">
      <items count="328">
        <item x="100"/>
        <item x="0"/>
        <item x="305"/>
        <item x="235"/>
        <item x="188"/>
        <item x="236"/>
        <item x="189"/>
        <item x="143"/>
        <item x="238"/>
        <item x="144"/>
        <item x="37"/>
        <item x="38"/>
        <item x="39"/>
        <item x="102"/>
        <item x="240"/>
        <item x="241"/>
        <item x="145"/>
        <item x="147"/>
        <item x="242"/>
        <item x="103"/>
        <item x="306"/>
        <item x="104"/>
        <item x="105"/>
        <item x="149"/>
        <item x="192"/>
        <item x="150"/>
        <item x="244"/>
        <item x="106"/>
        <item x="40"/>
        <item x="41"/>
        <item x="108"/>
        <item x="110"/>
        <item x="43"/>
        <item x="1"/>
        <item x="151"/>
        <item x="249"/>
        <item x="250"/>
        <item x="193"/>
        <item x="194"/>
        <item x="251"/>
        <item x="153"/>
        <item x="45"/>
        <item x="307"/>
        <item x="308"/>
        <item x="46"/>
        <item x="309"/>
        <item x="47"/>
        <item x="48"/>
        <item x="310"/>
        <item x="49"/>
        <item x="253"/>
        <item x="50"/>
        <item x="195"/>
        <item x="112"/>
        <item x="154"/>
        <item x="254"/>
        <item x="155"/>
        <item x="158"/>
        <item x="4"/>
        <item x="53"/>
        <item x="311"/>
        <item x="197"/>
        <item x="5"/>
        <item x="159"/>
        <item x="255"/>
        <item x="114"/>
        <item x="115"/>
        <item x="6"/>
        <item x="160"/>
        <item x="256"/>
        <item x="54"/>
        <item x="257"/>
        <item x="258"/>
        <item x="55"/>
        <item x="161"/>
        <item x="312"/>
        <item x="260"/>
        <item x="8"/>
        <item x="261"/>
        <item x="10"/>
        <item x="199"/>
        <item x="263"/>
        <item x="264"/>
        <item x="57"/>
        <item x="11"/>
        <item x="58"/>
        <item x="313"/>
        <item x="59"/>
        <item x="314"/>
        <item x="60"/>
        <item x="266"/>
        <item x="13"/>
        <item x="14"/>
        <item x="200"/>
        <item x="61"/>
        <item x="267"/>
        <item x="202"/>
        <item x="315"/>
        <item x="203"/>
        <item x="62"/>
        <item x="204"/>
        <item x="15"/>
        <item x="205"/>
        <item x="64"/>
        <item x="118"/>
        <item x="66"/>
        <item x="163"/>
        <item x="268"/>
        <item x="120"/>
        <item x="207"/>
        <item x="269"/>
        <item x="164"/>
        <item x="270"/>
        <item x="209"/>
        <item x="165"/>
        <item x="317"/>
        <item x="210"/>
        <item x="19"/>
        <item x="121"/>
        <item x="122"/>
        <item x="272"/>
        <item x="71"/>
        <item x="273"/>
        <item x="166"/>
        <item x="274"/>
        <item x="211"/>
        <item x="127"/>
        <item x="276"/>
        <item x="72"/>
        <item x="20"/>
        <item x="278"/>
        <item x="280"/>
        <item x="213"/>
        <item x="283"/>
        <item x="284"/>
        <item x="285"/>
        <item x="21"/>
        <item x="169"/>
        <item x="319"/>
        <item x="75"/>
        <item x="23"/>
        <item x="170"/>
        <item x="216"/>
        <item x="76"/>
        <item x="217"/>
        <item x="77"/>
        <item x="78"/>
        <item x="79"/>
        <item x="80"/>
        <item x="288"/>
        <item x="289"/>
        <item x="25"/>
        <item x="219"/>
        <item x="131"/>
        <item x="81"/>
        <item x="221"/>
        <item x="82"/>
        <item x="290"/>
        <item x="222"/>
        <item x="83"/>
        <item x="84"/>
        <item x="224"/>
        <item x="133"/>
        <item x="26"/>
        <item x="27"/>
        <item x="225"/>
        <item x="28"/>
        <item x="87"/>
        <item x="322"/>
        <item x="293"/>
        <item x="29"/>
        <item x="88"/>
        <item x="323"/>
        <item x="295"/>
        <item x="226"/>
        <item x="174"/>
        <item x="89"/>
        <item x="227"/>
        <item x="175"/>
        <item x="176"/>
        <item x="177"/>
        <item x="136"/>
        <item x="137"/>
        <item x="90"/>
        <item x="178"/>
        <item x="228"/>
        <item x="138"/>
        <item x="324"/>
        <item x="139"/>
        <item x="179"/>
        <item x="31"/>
        <item x="230"/>
        <item x="297"/>
        <item x="91"/>
        <item x="180"/>
        <item x="299"/>
        <item x="32"/>
        <item x="92"/>
        <item x="140"/>
        <item x="232"/>
        <item x="300"/>
        <item x="301"/>
        <item x="182"/>
        <item x="233"/>
        <item x="141"/>
        <item x="325"/>
        <item x="94"/>
        <item x="95"/>
        <item x="184"/>
        <item x="234"/>
        <item x="185"/>
        <item x="96"/>
        <item x="186"/>
        <item x="97"/>
        <item x="98"/>
        <item x="99"/>
        <item x="33"/>
        <item x="34"/>
        <item x="187"/>
        <item x="304"/>
        <item x="303"/>
        <item x="302"/>
        <item x="183"/>
        <item x="93"/>
        <item x="181"/>
        <item x="231"/>
        <item x="298"/>
        <item x="30"/>
        <item x="229"/>
        <item x="296"/>
        <item x="173"/>
        <item x="172"/>
        <item x="294"/>
        <item x="135"/>
        <item x="292"/>
        <item x="134"/>
        <item x="291"/>
        <item x="321"/>
        <item x="86"/>
        <item x="85"/>
        <item x="223"/>
        <item x="132"/>
        <item x="220"/>
        <item x="130"/>
        <item x="171"/>
        <item x="218"/>
        <item x="24"/>
        <item x="320"/>
        <item x="287"/>
        <item x="22"/>
        <item x="215"/>
        <item x="286"/>
        <item x="168"/>
        <item x="214"/>
        <item x="74"/>
        <item x="73"/>
        <item x="318"/>
        <item x="282"/>
        <item x="281"/>
        <item x="279"/>
        <item x="129"/>
        <item x="167"/>
        <item x="277"/>
        <item x="128"/>
        <item x="212"/>
        <item x="275"/>
        <item x="126"/>
        <item x="125"/>
        <item x="124"/>
        <item x="123"/>
        <item x="70"/>
        <item x="69"/>
        <item x="271"/>
        <item x="18"/>
        <item x="208"/>
        <item x="206"/>
        <item x="17"/>
        <item x="119"/>
        <item x="68"/>
        <item x="67"/>
        <item x="316"/>
        <item x="65"/>
        <item x="16"/>
        <item x="63"/>
        <item x="162"/>
        <item x="201"/>
        <item x="12"/>
        <item x="117"/>
        <item x="265"/>
        <item x="116"/>
        <item x="262"/>
        <item x="56"/>
        <item x="9"/>
        <item x="259"/>
        <item x="7"/>
        <item x="198"/>
        <item x="196"/>
        <item x="157"/>
        <item x="113"/>
        <item x="52"/>
        <item x="156"/>
        <item x="3"/>
        <item x="51"/>
        <item x="111"/>
        <item x="252"/>
        <item x="152"/>
        <item x="2"/>
        <item x="248"/>
        <item x="44"/>
        <item x="247"/>
        <item x="109"/>
        <item x="42"/>
        <item x="246"/>
        <item x="245"/>
        <item x="107"/>
        <item x="243"/>
        <item x="148"/>
        <item x="191"/>
        <item x="146"/>
        <item x="190"/>
        <item x="239"/>
        <item x="237"/>
        <item x="142"/>
        <item x="36"/>
        <item x="101"/>
        <item x="35"/>
        <item x="326"/>
        <item t="default"/>
      </items>
    </pivotField>
    <pivotField dataField="1" showAll="0">
      <items count="322">
        <item x="177"/>
        <item x="203"/>
        <item x="211"/>
        <item x="35"/>
        <item x="190"/>
        <item x="115"/>
        <item x="110"/>
        <item x="87"/>
        <item x="244"/>
        <item x="165"/>
        <item x="311"/>
        <item x="98"/>
        <item x="194"/>
        <item x="18"/>
        <item x="101"/>
        <item x="129"/>
        <item x="140"/>
        <item x="8"/>
        <item x="260"/>
        <item x="15"/>
        <item x="168"/>
        <item x="279"/>
        <item x="117"/>
        <item x="54"/>
        <item x="296"/>
        <item x="235"/>
        <item x="187"/>
        <item x="153"/>
        <item x="20"/>
        <item x="24"/>
        <item x="152"/>
        <item x="218"/>
        <item x="32"/>
        <item x="287"/>
        <item x="7"/>
        <item x="78"/>
        <item x="294"/>
        <item x="200"/>
        <item x="42"/>
        <item x="11"/>
        <item x="97"/>
        <item x="88"/>
        <item x="288"/>
        <item x="292"/>
        <item x="41"/>
        <item x="13"/>
        <item x="164"/>
        <item x="191"/>
        <item x="184"/>
        <item x="172"/>
        <item x="160"/>
        <item x="34"/>
        <item x="199"/>
        <item x="263"/>
        <item x="179"/>
        <item x="133"/>
        <item x="63"/>
        <item x="249"/>
        <item x="269"/>
        <item x="123"/>
        <item x="303"/>
        <item x="118"/>
        <item x="253"/>
        <item x="281"/>
        <item x="237"/>
        <item x="10"/>
        <item x="219"/>
        <item x="274"/>
        <item x="299"/>
        <item x="247"/>
        <item x="150"/>
        <item x="75"/>
        <item x="44"/>
        <item x="300"/>
        <item x="96"/>
        <item x="14"/>
        <item x="149"/>
        <item x="197"/>
        <item x="256"/>
        <item x="268"/>
        <item x="182"/>
        <item x="298"/>
        <item x="156"/>
        <item x="196"/>
        <item x="192"/>
        <item x="2"/>
        <item x="111"/>
        <item x="70"/>
        <item x="278"/>
        <item x="241"/>
        <item x="53"/>
        <item x="318"/>
        <item x="49"/>
        <item x="147"/>
        <item x="206"/>
        <item x="270"/>
        <item x="290"/>
        <item x="45"/>
        <item x="100"/>
        <item x="106"/>
        <item x="23"/>
        <item x="104"/>
        <item x="280"/>
        <item x="188"/>
        <item x="40"/>
        <item x="146"/>
        <item x="81"/>
        <item x="315"/>
        <item x="262"/>
        <item x="25"/>
        <item x="259"/>
        <item x="116"/>
        <item x="166"/>
        <item x="231"/>
        <item x="52"/>
        <item x="71"/>
        <item x="264"/>
        <item x="204"/>
        <item x="301"/>
        <item x="31"/>
        <item x="205"/>
        <item x="267"/>
        <item x="309"/>
        <item x="22"/>
        <item x="113"/>
        <item x="105"/>
        <item x="138"/>
        <item x="131"/>
        <item x="28"/>
        <item x="178"/>
        <item x="215"/>
        <item x="77"/>
        <item x="277"/>
        <item x="180"/>
        <item x="143"/>
        <item x="120"/>
        <item x="121"/>
        <item x="84"/>
        <item x="198"/>
        <item x="103"/>
        <item x="310"/>
        <item x="171"/>
        <item x="183"/>
        <item x="89"/>
        <item x="308"/>
        <item x="189"/>
        <item x="169"/>
        <item x="227"/>
        <item x="319"/>
        <item x="220"/>
        <item x="43"/>
        <item x="271"/>
        <item x="93"/>
        <item x="250"/>
        <item x="38"/>
        <item x="39"/>
        <item x="69"/>
        <item x="251"/>
        <item x="313"/>
        <item x="107"/>
        <item x="108"/>
        <item x="4"/>
        <item x="66"/>
        <item x="240"/>
        <item x="193"/>
        <item x="90"/>
        <item x="151"/>
        <item x="33"/>
        <item x="236"/>
        <item x="5"/>
        <item x="3"/>
        <item x="282"/>
        <item x="208"/>
        <item x="73"/>
        <item x="285"/>
        <item x="214"/>
        <item x="99"/>
        <item x="293"/>
        <item x="141"/>
        <item x="94"/>
        <item x="213"/>
        <item x="302"/>
        <item x="306"/>
        <item x="238"/>
        <item x="225"/>
        <item x="162"/>
        <item x="48"/>
        <item x="130"/>
        <item x="266"/>
        <item x="122"/>
        <item x="59"/>
        <item x="9"/>
        <item x="312"/>
        <item x="64"/>
        <item x="297"/>
        <item x="27"/>
        <item x="148"/>
        <item x="112"/>
        <item x="102"/>
        <item x="181"/>
        <item x="29"/>
        <item x="142"/>
        <item x="261"/>
        <item x="158"/>
        <item x="229"/>
        <item x="126"/>
        <item x="72"/>
        <item x="207"/>
        <item x="224"/>
        <item x="21"/>
        <item x="128"/>
        <item x="233"/>
        <item x="74"/>
        <item x="127"/>
        <item x="223"/>
        <item x="82"/>
        <item x="26"/>
        <item x="221"/>
        <item x="57"/>
        <item x="79"/>
        <item x="135"/>
        <item x="16"/>
        <item x="155"/>
        <item x="185"/>
        <item x="62"/>
        <item x="283"/>
        <item x="210"/>
        <item x="186"/>
        <item x="254"/>
        <item x="174"/>
        <item x="222"/>
        <item x="246"/>
        <item x="316"/>
        <item x="19"/>
        <item x="245"/>
        <item x="114"/>
        <item x="175"/>
        <item x="195"/>
        <item x="167"/>
        <item x="202"/>
        <item x="36"/>
        <item x="230"/>
        <item x="239"/>
        <item x="132"/>
        <item x="305"/>
        <item x="273"/>
        <item x="86"/>
        <item x="161"/>
        <item x="134"/>
        <item x="145"/>
        <item x="125"/>
        <item x="176"/>
        <item x="67"/>
        <item x="6"/>
        <item x="1"/>
        <item x="212"/>
        <item x="139"/>
        <item x="284"/>
        <item x="136"/>
        <item x="92"/>
        <item x="295"/>
        <item x="209"/>
        <item x="47"/>
        <item x="65"/>
        <item x="51"/>
        <item x="170"/>
        <item x="258"/>
        <item x="68"/>
        <item x="119"/>
        <item x="173"/>
        <item x="248"/>
        <item x="232"/>
        <item x="217"/>
        <item x="55"/>
        <item x="50"/>
        <item x="83"/>
        <item x="91"/>
        <item x="265"/>
        <item x="307"/>
        <item x="85"/>
        <item x="228"/>
        <item x="289"/>
        <item x="276"/>
        <item x="144"/>
        <item x="12"/>
        <item x="163"/>
        <item x="201"/>
        <item x="272"/>
        <item x="17"/>
        <item x="30"/>
        <item x="95"/>
        <item x="61"/>
        <item x="76"/>
        <item x="124"/>
        <item x="291"/>
        <item x="226"/>
        <item x="216"/>
        <item x="252"/>
        <item x="56"/>
        <item x="58"/>
        <item x="317"/>
        <item x="80"/>
        <item x="60"/>
        <item x="46"/>
        <item x="255"/>
        <item x="286"/>
        <item x="243"/>
        <item x="154"/>
        <item x="109"/>
        <item x="242"/>
        <item x="157"/>
        <item x="37"/>
        <item x="159"/>
        <item x="137"/>
        <item x="275"/>
        <item x="257"/>
        <item x="234"/>
        <item x="0"/>
        <item x="314"/>
        <item x="304"/>
        <item x="320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Player ID" fld="1" subtotal="count" baseField="0" baseItem="0"/>
  </dataFields>
  <chartFormats count="3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1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0"/>
          </reference>
        </references>
      </pivotArea>
    </chartFormat>
    <chartFormat chart="11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7" count="1" selected="0">
            <x v="0"/>
          </reference>
        </references>
      </pivotArea>
    </chartFormat>
    <chartFormat chart="11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0"/>
          </reference>
        </references>
      </pivotArea>
    </chartFormat>
    <chartFormat chart="11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7" count="1" selected="0">
            <x v="0"/>
          </reference>
        </references>
      </pivotArea>
    </chartFormat>
    <chartFormat chart="11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7" count="1" selected="0">
            <x v="0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5"/>
          </reference>
          <reference field="17" count="1" selected="0">
            <x v="0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7" count="1" selected="0">
            <x v="0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1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1"/>
          </reference>
        </references>
      </pivotArea>
    </chartFormat>
    <chartFormat chart="11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7" count="1" selected="0">
            <x v="1"/>
          </reference>
        </references>
      </pivotArea>
    </chartFormat>
    <chartFormat chart="11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1"/>
          </reference>
        </references>
      </pivotArea>
    </chartFormat>
    <chartFormat chart="11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7" count="1" selected="0">
            <x v="1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7" count="1" selected="0">
            <x v="1"/>
          </reference>
        </references>
      </pivotArea>
    </chartFormat>
    <chartFormat chart="11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5"/>
          </reference>
          <reference field="17" count="1" selected="0">
            <x v="1"/>
          </reference>
        </references>
      </pivotArea>
    </chartFormat>
    <chartFormat chart="11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7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7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0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7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7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5"/>
          </reference>
          <reference field="17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7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7" count="1" selected="0">
            <x v="1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7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7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7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4"/>
          </reference>
          <reference field="17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5"/>
          </reference>
          <reference field="17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6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latform" xr10:uid="{00000000-0013-0000-FFFF-FFFF01000000}" sourceName="Platform">
  <pivotTables>
    <pivotTable tabId="10" name="PivotTable2"/>
    <pivotTable tabId="10" name="PivotTable3"/>
    <pivotTable tabId="10" name="PivotTable4"/>
    <pivotTable tabId="10" name="PivotTable5"/>
    <pivotTable tabId="10" name="PivotTable6"/>
  </pivotTables>
  <data>
    <tabular pivotCacheId="2">
      <items count="4">
        <i x="2" s="1"/>
        <i x="0" s="1"/>
        <i x="1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2000000}" sourceName="Region">
  <pivotTables>
    <pivotTable tabId="10" name="PivotTable2"/>
    <pivotTable tabId="10" name="PivotTable3"/>
    <pivotTable tabId="10" name="PivotTable4"/>
    <pivotTable tabId="10" name="PivotTable5"/>
    <pivotTable tabId="10" name="PivotTable6"/>
  </pivotTables>
  <data>
    <tabular pivotCacheId="2">
      <items count="7">
        <i x="0" s="1"/>
        <i x="1" s="1"/>
        <i x="3" s="1"/>
        <i x="2" s="1"/>
        <i x="5" s="1"/>
        <i x="4" s="1"/>
        <i x="6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_Month" xr10:uid="{00000000-0013-0000-FFFF-FFFF03000000}" sourceName="Year-Month">
  <pivotTables>
    <pivotTable tabId="10" name="PivotTable1"/>
  </pivotTables>
  <data>
    <tabular pivotCacheId="1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ngagement_Level" xr10:uid="{00000000-0013-0000-FFFF-FFFF04000000}" sourceName=" Engagement Level">
  <pivotTables>
    <pivotTable tabId="10" name="PivotTable1"/>
  </pivotTables>
  <data>
    <tabular pivotCacheId="1">
      <items count="1"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de_Purchase" xr10:uid="{00000000-0013-0000-FFFF-FFFF05000000}" sourceName=" Made Purchase">
  <pivotTables>
    <pivotTable tabId="10" name="PivotTable1"/>
  </pivotTables>
  <data>
    <tabular pivotCacheId="1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spicious_Flag" xr10:uid="{00000000-0013-0000-FFFF-FFFF06000000}" sourceName="Suspicious Flag">
  <pivotTables>
    <pivotTable tabId="10" name="PivotTable1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tform" xr10:uid="{00000000-0014-0000-FFFF-FFFF06000000}" cache="Slicer_Platform" caption="Platform" rowHeight="234950"/>
  <slicer name="Region" xr10:uid="{00000000-0014-0000-FFFF-FFFF05000000}" cache="Slicer_Region" caption="Region" rowHeight="234950"/>
  <slicer name="Year-Month" xr10:uid="{00000000-0014-0000-FFFF-FFFF04000000}" cache="Slicer_Year_Month" caption="Year-Month" rowHeight="234950"/>
  <slicer name=" Engagement Level" xr10:uid="{00000000-0014-0000-FFFF-FFFF03000000}" cache="Slicer_Engagement_Level" caption=" Engagement Level" rowHeight="234950"/>
  <slicer name=" Made Purchase" xr10:uid="{00000000-0014-0000-FFFF-FFFF02000000}" cache="Slicer_Made_Purchase" caption=" Made Purchase" rowHeight="234950"/>
  <slicer name="Suspicious Flag" xr10:uid="{00000000-0014-0000-FFFF-FFFF01000000}" cache="Slicer_Suspicious_Flag" caption="Suspicious Flag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tform 1" xr10:uid="{00000000-0014-0000-FFFF-FFFF0B000000}" cache="Slicer_Platform" caption="Platform" rowHeight="234950"/>
  <slicer name="Region 1" xr10:uid="{00000000-0014-0000-FFFF-FFFF0A000000}" cache="Slicer_Region" caption="Region" rowHeight="234950"/>
  <slicer name="Year-Month 1" xr10:uid="{00000000-0014-0000-FFFF-FFFF09000000}" cache="Slicer_Year_Month" caption="Year-Month" rowHeight="234950"/>
  <slicer name=" Made Purchase 1" xr10:uid="{00000000-0014-0000-FFFF-FFFF08000000}" cache="Slicer_Made_Purchase" caption=" Made Purchase" rowHeight="234950"/>
  <slicer name="Suspicious Flag 2" xr10:uid="{00000000-0014-0000-FFFF-FFFF07000000}" cache="Slicer_Suspicious_Flag" caption="Suspicious Flag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327" totalsRowShown="0">
  <autoFilter ref="A1:R327" xr:uid="{00000000-0009-0000-0100-000001000000}"/>
  <tableColumns count="18">
    <tableColumn id="1" xr3:uid="{00000000-0010-0000-0000-000001000000}" name="Session ID"/>
    <tableColumn id="2" xr3:uid="{00000000-0010-0000-0000-000002000000}" name="Player ID"/>
    <tableColumn id="3" xr3:uid="{00000000-0010-0000-0000-000003000000}" name="Player Name"/>
    <tableColumn id="4" xr3:uid="{00000000-0010-0000-0000-000004000000}" name="Game Name"/>
    <tableColumn id="5" xr3:uid="{00000000-0010-0000-0000-000005000000}" name="Platform"/>
    <tableColumn id="6" xr3:uid="{00000000-0010-0000-0000-000006000000}" name="Region"/>
    <tableColumn id="7" xr3:uid="{00000000-0010-0000-0000-000007000000}" name="Session Date" dataDxfId="1"/>
    <tableColumn id="8" xr3:uid="{00000000-0010-0000-0000-000008000000}" name="Session Duration (min)"/>
    <tableColumn id="9" xr3:uid="{00000000-0010-0000-0000-000009000000}" name="In-Game Purchase ($)"/>
    <tableColumn id="10" xr3:uid="{00000000-0010-0000-0000-00000A000000}" name="Purchase Type"/>
    <tableColumn id="11" xr3:uid="{00000000-0010-0000-0000-00000B000000}" name="Session Status"/>
    <tableColumn id="12" xr3:uid="{00000000-0010-0000-0000-00000C000000}" name="Player Type"/>
    <tableColumn id="13" xr3:uid="{00000000-0010-0000-0000-00000D000000}" name="Level Reached"/>
    <tableColumn id="14" xr3:uid="{00000000-0010-0000-0000-00000E000000}" name="Is Suspicious"/>
    <tableColumn id="15" xr3:uid="{00000000-0010-0000-0000-00000F000000}" name="Year-Month"/>
    <tableColumn id="16" xr3:uid="{00000000-0010-0000-0000-000010000000}" name=" Engagement Level"/>
    <tableColumn id="17" xr3:uid="{00000000-0010-0000-0000-000011000000}" name=" Made Purchase"/>
    <tableColumn id="18" xr3:uid="{00000000-0010-0000-0000-000012000000}" name="Suspicious Fla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R99" totalsRowShown="0">
  <autoFilter ref="A1:R99" xr:uid="{00000000-0009-0000-0100-000002000000}"/>
  <tableColumns count="18">
    <tableColumn id="1" xr3:uid="{00000000-0010-0000-0100-000001000000}" name="Session ID"/>
    <tableColumn id="2" xr3:uid="{00000000-0010-0000-0100-000002000000}" name="Player ID"/>
    <tableColumn id="3" xr3:uid="{00000000-0010-0000-0100-000003000000}" name="Player Name"/>
    <tableColumn id="4" xr3:uid="{00000000-0010-0000-0100-000004000000}" name="Game Name"/>
    <tableColumn id="5" xr3:uid="{00000000-0010-0000-0100-000005000000}" name="Platform"/>
    <tableColumn id="6" xr3:uid="{00000000-0010-0000-0100-000006000000}" name="Region"/>
    <tableColumn id="7" xr3:uid="{00000000-0010-0000-0100-000007000000}" name="Session Date" dataDxfId="0"/>
    <tableColumn id="8" xr3:uid="{00000000-0010-0000-0100-000008000000}" name="Session Duration (min)"/>
    <tableColumn id="9" xr3:uid="{00000000-0010-0000-0100-000009000000}" name="In-Game Purchase ($)"/>
    <tableColumn id="10" xr3:uid="{00000000-0010-0000-0100-00000A000000}" name="Purchase Type"/>
    <tableColumn id="11" xr3:uid="{00000000-0010-0000-0100-00000B000000}" name="Session Status"/>
    <tableColumn id="12" xr3:uid="{00000000-0010-0000-0100-00000C000000}" name="Player Type"/>
    <tableColumn id="13" xr3:uid="{00000000-0010-0000-0100-00000D000000}" name="Level Reached"/>
    <tableColumn id="14" xr3:uid="{00000000-0010-0000-0100-00000E000000}" name="Is Suspicious"/>
    <tableColumn id="15" xr3:uid="{00000000-0010-0000-0100-00000F000000}" name="Year-Month"/>
    <tableColumn id="16" xr3:uid="{00000000-0010-0000-0100-000010000000}" name=" Engagement Level"/>
    <tableColumn id="17" xr3:uid="{00000000-0010-0000-0100-000011000000}" name=" Made Purchase"/>
    <tableColumn id="18" xr3:uid="{00000000-0010-0000-0100-000012000000}" name="Suspicious 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7"/>
  <sheetViews>
    <sheetView topLeftCell="G2" workbookViewId="0">
      <selection activeCell="A2" sqref="A2:R327"/>
    </sheetView>
  </sheetViews>
  <sheetFormatPr defaultColWidth="9" defaultRowHeight="14.4"/>
  <cols>
    <col min="1" max="1" width="11.33203125" customWidth="1"/>
    <col min="2" max="2" width="10.33203125" customWidth="1"/>
    <col min="3" max="3" width="13.5546875" customWidth="1"/>
    <col min="4" max="4" width="13.21875" customWidth="1"/>
    <col min="5" max="5" width="10.21875" customWidth="1"/>
    <col min="7" max="7" width="13.44140625" customWidth="1"/>
    <col min="8" max="8" width="21.88671875" customWidth="1"/>
    <col min="9" max="9" width="21" customWidth="1"/>
    <col min="10" max="10" width="15.109375" customWidth="1"/>
    <col min="11" max="11" width="14.77734375" customWidth="1"/>
    <col min="12" max="12" width="12.6640625" customWidth="1"/>
    <col min="13" max="13" width="14.88671875" customWidth="1"/>
    <col min="14" max="14" width="13.44140625" customWidth="1"/>
    <col min="15" max="15" width="13" customWidth="1"/>
    <col min="16" max="16" width="18.6640625" customWidth="1"/>
    <col min="17" max="17" width="16.33203125" customWidth="1"/>
    <col min="18" max="18" width="15.44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3">
        <v>45642</v>
      </c>
      <c r="H2">
        <v>75</v>
      </c>
      <c r="I2">
        <v>26.02</v>
      </c>
      <c r="J2" t="s">
        <v>24</v>
      </c>
      <c r="K2" t="s">
        <v>25</v>
      </c>
      <c r="L2" t="s">
        <v>26</v>
      </c>
      <c r="M2">
        <v>11</v>
      </c>
      <c r="N2" t="s">
        <v>27</v>
      </c>
      <c r="O2" t="s">
        <v>28</v>
      </c>
      <c r="P2" t="s">
        <v>29</v>
      </c>
      <c r="Q2" t="s">
        <v>30</v>
      </c>
      <c r="R2">
        <v>0</v>
      </c>
    </row>
    <row r="3" spans="1:18">
      <c r="A3" t="s">
        <v>31</v>
      </c>
      <c r="B3" t="s">
        <v>32</v>
      </c>
      <c r="C3" t="s">
        <v>33</v>
      </c>
      <c r="D3" t="s">
        <v>21</v>
      </c>
      <c r="E3" t="s">
        <v>34</v>
      </c>
      <c r="F3" t="s">
        <v>35</v>
      </c>
      <c r="G3" s="13">
        <v>45645</v>
      </c>
      <c r="H3">
        <v>108</v>
      </c>
      <c r="I3">
        <v>0</v>
      </c>
      <c r="J3" t="s">
        <v>36</v>
      </c>
      <c r="K3" t="s">
        <v>25</v>
      </c>
      <c r="L3" t="s">
        <v>37</v>
      </c>
      <c r="M3">
        <v>35</v>
      </c>
      <c r="N3" t="s">
        <v>27</v>
      </c>
      <c r="O3" t="s">
        <v>28</v>
      </c>
      <c r="P3" t="s">
        <v>29</v>
      </c>
      <c r="Q3" t="s">
        <v>27</v>
      </c>
      <c r="R3">
        <v>0</v>
      </c>
    </row>
    <row r="4" spans="1:18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s="13">
        <v>45654</v>
      </c>
      <c r="H4">
        <v>132</v>
      </c>
      <c r="I4">
        <v>18</v>
      </c>
      <c r="J4" t="s">
        <v>44</v>
      </c>
      <c r="K4" t="s">
        <v>45</v>
      </c>
      <c r="L4" t="s">
        <v>26</v>
      </c>
      <c r="M4">
        <v>3</v>
      </c>
      <c r="N4" t="s">
        <v>27</v>
      </c>
      <c r="O4" t="s">
        <v>28</v>
      </c>
      <c r="P4" t="s">
        <v>29</v>
      </c>
      <c r="Q4" t="s">
        <v>30</v>
      </c>
      <c r="R4">
        <v>0</v>
      </c>
    </row>
    <row r="5" spans="1:18">
      <c r="A5" t="s">
        <v>46</v>
      </c>
      <c r="B5" t="s">
        <v>47</v>
      </c>
      <c r="C5" t="s">
        <v>48</v>
      </c>
      <c r="D5" t="s">
        <v>49</v>
      </c>
      <c r="E5" t="s">
        <v>22</v>
      </c>
      <c r="F5" t="s">
        <v>43</v>
      </c>
      <c r="G5" s="13">
        <v>45655</v>
      </c>
      <c r="H5">
        <v>113</v>
      </c>
      <c r="I5">
        <v>0</v>
      </c>
      <c r="J5" t="s">
        <v>36</v>
      </c>
      <c r="K5" t="s">
        <v>25</v>
      </c>
      <c r="L5" t="s">
        <v>37</v>
      </c>
      <c r="M5">
        <v>17</v>
      </c>
      <c r="N5" t="s">
        <v>27</v>
      </c>
      <c r="O5" t="s">
        <v>28</v>
      </c>
      <c r="P5" t="s">
        <v>29</v>
      </c>
      <c r="Q5" t="s">
        <v>27</v>
      </c>
      <c r="R5">
        <v>0</v>
      </c>
    </row>
    <row r="6" spans="1:18">
      <c r="A6" t="s">
        <v>50</v>
      </c>
      <c r="B6" t="s">
        <v>51</v>
      </c>
      <c r="C6" t="s">
        <v>52</v>
      </c>
      <c r="D6" t="s">
        <v>21</v>
      </c>
      <c r="E6" t="s">
        <v>22</v>
      </c>
      <c r="F6" t="s">
        <v>35</v>
      </c>
      <c r="G6" s="13">
        <v>45651</v>
      </c>
      <c r="H6">
        <v>92</v>
      </c>
      <c r="I6">
        <v>0</v>
      </c>
      <c r="J6" t="s">
        <v>36</v>
      </c>
      <c r="K6" t="s">
        <v>53</v>
      </c>
      <c r="L6" t="s">
        <v>37</v>
      </c>
      <c r="M6">
        <v>21</v>
      </c>
      <c r="N6" t="s">
        <v>27</v>
      </c>
      <c r="O6" t="s">
        <v>28</v>
      </c>
      <c r="P6" t="s">
        <v>29</v>
      </c>
      <c r="Q6" t="s">
        <v>27</v>
      </c>
      <c r="R6">
        <v>0</v>
      </c>
    </row>
    <row r="7" spans="1:18">
      <c r="A7" t="s">
        <v>54</v>
      </c>
      <c r="B7" t="s">
        <v>55</v>
      </c>
      <c r="C7" t="s">
        <v>56</v>
      </c>
      <c r="D7" t="s">
        <v>57</v>
      </c>
      <c r="E7" t="s">
        <v>22</v>
      </c>
      <c r="F7" t="s">
        <v>58</v>
      </c>
      <c r="G7" s="13">
        <v>45646</v>
      </c>
      <c r="H7">
        <v>154</v>
      </c>
      <c r="I7">
        <v>0</v>
      </c>
      <c r="J7" t="s">
        <v>36</v>
      </c>
      <c r="K7" t="s">
        <v>25</v>
      </c>
      <c r="L7" t="s">
        <v>37</v>
      </c>
      <c r="M7">
        <v>11</v>
      </c>
      <c r="N7" t="s">
        <v>30</v>
      </c>
      <c r="O7" t="s">
        <v>28</v>
      </c>
      <c r="P7" t="s">
        <v>29</v>
      </c>
      <c r="Q7" t="s">
        <v>27</v>
      </c>
      <c r="R7">
        <v>1</v>
      </c>
    </row>
    <row r="8" spans="1:18">
      <c r="A8" t="s">
        <v>59</v>
      </c>
      <c r="B8" t="s">
        <v>60</v>
      </c>
      <c r="C8" t="s">
        <v>61</v>
      </c>
      <c r="D8" t="s">
        <v>62</v>
      </c>
      <c r="E8" t="s">
        <v>42</v>
      </c>
      <c r="F8" t="s">
        <v>43</v>
      </c>
      <c r="G8" s="13">
        <v>45646</v>
      </c>
      <c r="H8">
        <v>164</v>
      </c>
      <c r="I8">
        <v>0</v>
      </c>
      <c r="J8" t="s">
        <v>36</v>
      </c>
      <c r="K8" t="s">
        <v>25</v>
      </c>
      <c r="L8" t="s">
        <v>26</v>
      </c>
      <c r="M8">
        <v>19</v>
      </c>
      <c r="N8" t="s">
        <v>30</v>
      </c>
      <c r="O8" t="s">
        <v>28</v>
      </c>
      <c r="P8" t="s">
        <v>29</v>
      </c>
      <c r="Q8" t="s">
        <v>27</v>
      </c>
      <c r="R8">
        <v>1</v>
      </c>
    </row>
    <row r="9" spans="1:18">
      <c r="A9" t="s">
        <v>63</v>
      </c>
      <c r="B9" t="s">
        <v>64</v>
      </c>
      <c r="C9" t="s">
        <v>65</v>
      </c>
      <c r="D9" t="s">
        <v>49</v>
      </c>
      <c r="E9" t="s">
        <v>22</v>
      </c>
      <c r="F9" t="s">
        <v>23</v>
      </c>
      <c r="G9" s="13">
        <v>45654</v>
      </c>
      <c r="H9">
        <v>133</v>
      </c>
      <c r="I9">
        <v>0</v>
      </c>
      <c r="J9" t="s">
        <v>36</v>
      </c>
      <c r="K9" t="s">
        <v>66</v>
      </c>
      <c r="L9" t="s">
        <v>37</v>
      </c>
      <c r="M9">
        <v>10</v>
      </c>
      <c r="N9" t="s">
        <v>27</v>
      </c>
      <c r="O9" t="s">
        <v>28</v>
      </c>
      <c r="P9" t="s">
        <v>29</v>
      </c>
      <c r="Q9" t="s">
        <v>27</v>
      </c>
      <c r="R9">
        <v>0</v>
      </c>
    </row>
    <row r="10" spans="1:18">
      <c r="A10" t="s">
        <v>67</v>
      </c>
      <c r="B10" t="s">
        <v>68</v>
      </c>
      <c r="C10" t="s">
        <v>69</v>
      </c>
      <c r="D10" t="s">
        <v>57</v>
      </c>
      <c r="E10" t="s">
        <v>34</v>
      </c>
      <c r="F10" t="s">
        <v>23</v>
      </c>
      <c r="G10" s="13">
        <v>45656</v>
      </c>
      <c r="H10">
        <v>165</v>
      </c>
      <c r="I10">
        <v>0</v>
      </c>
      <c r="J10" t="s">
        <v>36</v>
      </c>
      <c r="K10" t="s">
        <v>45</v>
      </c>
      <c r="L10" t="s">
        <v>37</v>
      </c>
      <c r="M10">
        <v>48</v>
      </c>
      <c r="N10" t="s">
        <v>30</v>
      </c>
      <c r="O10" t="s">
        <v>28</v>
      </c>
      <c r="P10" t="s">
        <v>29</v>
      </c>
      <c r="Q10" t="s">
        <v>27</v>
      </c>
      <c r="R10">
        <v>1</v>
      </c>
    </row>
    <row r="11" spans="1:18">
      <c r="A11" t="s">
        <v>70</v>
      </c>
      <c r="B11" t="s">
        <v>71</v>
      </c>
      <c r="C11" t="s">
        <v>72</v>
      </c>
      <c r="D11" t="s">
        <v>41</v>
      </c>
      <c r="E11" t="s">
        <v>42</v>
      </c>
      <c r="F11" t="s">
        <v>73</v>
      </c>
      <c r="G11" s="13">
        <v>45652</v>
      </c>
      <c r="H11">
        <v>96</v>
      </c>
      <c r="I11">
        <v>0</v>
      </c>
      <c r="J11" t="s">
        <v>36</v>
      </c>
      <c r="K11" t="s">
        <v>25</v>
      </c>
      <c r="L11" t="s">
        <v>37</v>
      </c>
      <c r="M11">
        <v>49</v>
      </c>
      <c r="N11" t="s">
        <v>27</v>
      </c>
      <c r="O11" t="s">
        <v>28</v>
      </c>
      <c r="P11" t="s">
        <v>29</v>
      </c>
      <c r="Q11" t="s">
        <v>27</v>
      </c>
      <c r="R11">
        <v>0</v>
      </c>
    </row>
    <row r="12" spans="1:18">
      <c r="A12" t="s">
        <v>74</v>
      </c>
      <c r="B12" t="s">
        <v>75</v>
      </c>
      <c r="C12" t="s">
        <v>76</v>
      </c>
      <c r="D12" t="s">
        <v>21</v>
      </c>
      <c r="E12" t="s">
        <v>22</v>
      </c>
      <c r="F12" t="s">
        <v>23</v>
      </c>
      <c r="G12" s="13">
        <v>45644</v>
      </c>
      <c r="H12">
        <v>89</v>
      </c>
      <c r="I12">
        <v>30.92</v>
      </c>
      <c r="J12" t="s">
        <v>24</v>
      </c>
      <c r="K12" t="s">
        <v>25</v>
      </c>
      <c r="L12" t="s">
        <v>26</v>
      </c>
      <c r="M12">
        <v>48</v>
      </c>
      <c r="N12" t="s">
        <v>27</v>
      </c>
      <c r="O12" t="s">
        <v>28</v>
      </c>
      <c r="P12" t="s">
        <v>29</v>
      </c>
      <c r="Q12" t="s">
        <v>30</v>
      </c>
      <c r="R12">
        <v>0</v>
      </c>
    </row>
    <row r="13" spans="1:18">
      <c r="A13" t="s">
        <v>77</v>
      </c>
      <c r="B13" t="s">
        <v>78</v>
      </c>
      <c r="C13" t="s">
        <v>79</v>
      </c>
      <c r="D13" t="s">
        <v>21</v>
      </c>
      <c r="E13" t="s">
        <v>22</v>
      </c>
      <c r="F13" t="s">
        <v>80</v>
      </c>
      <c r="G13" s="13">
        <v>45648</v>
      </c>
      <c r="H13">
        <v>156</v>
      </c>
      <c r="I13">
        <v>0</v>
      </c>
      <c r="J13" t="s">
        <v>36</v>
      </c>
      <c r="K13" t="s">
        <v>25</v>
      </c>
      <c r="L13" t="s">
        <v>26</v>
      </c>
      <c r="M13">
        <v>45</v>
      </c>
      <c r="N13" t="s">
        <v>30</v>
      </c>
      <c r="O13" t="s">
        <v>28</v>
      </c>
      <c r="P13" t="s">
        <v>29</v>
      </c>
      <c r="Q13" t="s">
        <v>27</v>
      </c>
      <c r="R13">
        <v>1</v>
      </c>
    </row>
    <row r="14" spans="1:18">
      <c r="A14" t="s">
        <v>81</v>
      </c>
      <c r="B14" t="s">
        <v>82</v>
      </c>
      <c r="C14" t="s">
        <v>83</v>
      </c>
      <c r="D14" t="s">
        <v>21</v>
      </c>
      <c r="E14" t="s">
        <v>42</v>
      </c>
      <c r="F14" t="s">
        <v>73</v>
      </c>
      <c r="G14" s="13">
        <v>45645</v>
      </c>
      <c r="H14">
        <v>176</v>
      </c>
      <c r="I14">
        <v>0</v>
      </c>
      <c r="J14" t="s">
        <v>36</v>
      </c>
      <c r="K14" t="s">
        <v>25</v>
      </c>
      <c r="L14" t="s">
        <v>37</v>
      </c>
      <c r="M14">
        <v>18</v>
      </c>
      <c r="N14" t="s">
        <v>30</v>
      </c>
      <c r="O14" t="s">
        <v>28</v>
      </c>
      <c r="P14" t="s">
        <v>29</v>
      </c>
      <c r="Q14" t="s">
        <v>27</v>
      </c>
      <c r="R14">
        <v>1</v>
      </c>
    </row>
    <row r="15" spans="1:18">
      <c r="A15" t="s">
        <v>84</v>
      </c>
      <c r="B15" t="s">
        <v>85</v>
      </c>
      <c r="C15" t="s">
        <v>86</v>
      </c>
      <c r="D15" t="s">
        <v>21</v>
      </c>
      <c r="E15" t="s">
        <v>42</v>
      </c>
      <c r="F15" t="s">
        <v>43</v>
      </c>
      <c r="G15" s="13">
        <v>45644</v>
      </c>
      <c r="H15">
        <v>95</v>
      </c>
      <c r="I15">
        <v>0</v>
      </c>
      <c r="J15" t="s">
        <v>36</v>
      </c>
      <c r="K15" t="s">
        <v>25</v>
      </c>
      <c r="L15" t="s">
        <v>37</v>
      </c>
      <c r="M15">
        <v>20</v>
      </c>
      <c r="N15" t="s">
        <v>27</v>
      </c>
      <c r="O15" t="s">
        <v>28</v>
      </c>
      <c r="P15" t="s">
        <v>29</v>
      </c>
      <c r="Q15" t="s">
        <v>27</v>
      </c>
      <c r="R15">
        <v>0</v>
      </c>
    </row>
    <row r="16" spans="1:18">
      <c r="A16" t="s">
        <v>87</v>
      </c>
      <c r="B16" t="s">
        <v>88</v>
      </c>
      <c r="C16" t="s">
        <v>89</v>
      </c>
      <c r="D16" t="s">
        <v>62</v>
      </c>
      <c r="E16" t="s">
        <v>34</v>
      </c>
      <c r="F16" t="s">
        <v>58</v>
      </c>
      <c r="G16" s="13">
        <v>45648</v>
      </c>
      <c r="H16">
        <v>107</v>
      </c>
      <c r="I16">
        <v>0</v>
      </c>
      <c r="J16" t="s">
        <v>36</v>
      </c>
      <c r="K16" t="s">
        <v>53</v>
      </c>
      <c r="L16" t="s">
        <v>37</v>
      </c>
      <c r="M16">
        <v>7</v>
      </c>
      <c r="N16" t="s">
        <v>27</v>
      </c>
      <c r="O16" t="s">
        <v>28</v>
      </c>
      <c r="P16" t="s">
        <v>29</v>
      </c>
      <c r="Q16" t="s">
        <v>27</v>
      </c>
      <c r="R16">
        <v>0</v>
      </c>
    </row>
    <row r="17" spans="1:18">
      <c r="A17" t="s">
        <v>90</v>
      </c>
      <c r="B17" t="s">
        <v>91</v>
      </c>
      <c r="C17" t="s">
        <v>92</v>
      </c>
      <c r="D17" t="s">
        <v>41</v>
      </c>
      <c r="E17" t="s">
        <v>42</v>
      </c>
      <c r="F17" t="s">
        <v>23</v>
      </c>
      <c r="G17" s="13">
        <v>45650</v>
      </c>
      <c r="H17">
        <v>146</v>
      </c>
      <c r="I17">
        <v>0</v>
      </c>
      <c r="J17" t="s">
        <v>36</v>
      </c>
      <c r="K17" t="s">
        <v>25</v>
      </c>
      <c r="L17" t="s">
        <v>37</v>
      </c>
      <c r="M17">
        <v>28</v>
      </c>
      <c r="N17" t="s">
        <v>27</v>
      </c>
      <c r="O17" t="s">
        <v>28</v>
      </c>
      <c r="P17" t="s">
        <v>29</v>
      </c>
      <c r="Q17" t="s">
        <v>27</v>
      </c>
      <c r="R17">
        <v>0</v>
      </c>
    </row>
    <row r="18" spans="1:18">
      <c r="A18" t="s">
        <v>93</v>
      </c>
      <c r="B18" t="s">
        <v>94</v>
      </c>
      <c r="C18" t="s">
        <v>95</v>
      </c>
      <c r="D18" t="s">
        <v>21</v>
      </c>
      <c r="E18" t="s">
        <v>42</v>
      </c>
      <c r="F18" t="s">
        <v>80</v>
      </c>
      <c r="G18" s="13">
        <v>45641</v>
      </c>
      <c r="H18">
        <v>159</v>
      </c>
      <c r="I18">
        <v>0</v>
      </c>
      <c r="J18" t="s">
        <v>36</v>
      </c>
      <c r="K18" t="s">
        <v>25</v>
      </c>
      <c r="L18" t="s">
        <v>37</v>
      </c>
      <c r="M18">
        <v>14</v>
      </c>
      <c r="N18" t="s">
        <v>30</v>
      </c>
      <c r="O18" t="s">
        <v>28</v>
      </c>
      <c r="P18" t="s">
        <v>29</v>
      </c>
      <c r="Q18" t="s">
        <v>27</v>
      </c>
      <c r="R18">
        <v>1</v>
      </c>
    </row>
    <row r="19" spans="1:18">
      <c r="A19" t="s">
        <v>96</v>
      </c>
      <c r="B19" t="s">
        <v>97</v>
      </c>
      <c r="C19" t="s">
        <v>98</v>
      </c>
      <c r="D19" t="s">
        <v>49</v>
      </c>
      <c r="E19" t="s">
        <v>22</v>
      </c>
      <c r="F19" t="s">
        <v>80</v>
      </c>
      <c r="G19" s="13">
        <v>45643</v>
      </c>
      <c r="H19">
        <v>92</v>
      </c>
      <c r="I19">
        <v>0</v>
      </c>
      <c r="J19" t="s">
        <v>36</v>
      </c>
      <c r="K19" t="s">
        <v>25</v>
      </c>
      <c r="L19" t="s">
        <v>26</v>
      </c>
      <c r="M19">
        <v>31</v>
      </c>
      <c r="N19" t="s">
        <v>27</v>
      </c>
      <c r="O19" t="s">
        <v>28</v>
      </c>
      <c r="P19" t="s">
        <v>29</v>
      </c>
      <c r="Q19" t="s">
        <v>27</v>
      </c>
      <c r="R19">
        <v>0</v>
      </c>
    </row>
    <row r="20" spans="1:18">
      <c r="A20" t="s">
        <v>99</v>
      </c>
      <c r="B20" t="s">
        <v>100</v>
      </c>
      <c r="C20" t="s">
        <v>101</v>
      </c>
      <c r="D20" t="s">
        <v>49</v>
      </c>
      <c r="E20" t="s">
        <v>34</v>
      </c>
      <c r="F20" t="s">
        <v>43</v>
      </c>
      <c r="G20" s="13">
        <v>45657</v>
      </c>
      <c r="H20">
        <v>86</v>
      </c>
      <c r="I20">
        <v>0</v>
      </c>
      <c r="J20" t="s">
        <v>36</v>
      </c>
      <c r="K20" t="s">
        <v>53</v>
      </c>
      <c r="L20" t="s">
        <v>26</v>
      </c>
      <c r="M20">
        <v>17</v>
      </c>
      <c r="N20" t="s">
        <v>27</v>
      </c>
      <c r="O20" t="s">
        <v>28</v>
      </c>
      <c r="P20" t="s">
        <v>29</v>
      </c>
      <c r="Q20" t="s">
        <v>27</v>
      </c>
      <c r="R20">
        <v>0</v>
      </c>
    </row>
    <row r="21" spans="1:18">
      <c r="A21" t="s">
        <v>102</v>
      </c>
      <c r="B21" t="s">
        <v>103</v>
      </c>
      <c r="C21" t="s">
        <v>104</v>
      </c>
      <c r="D21" t="s">
        <v>21</v>
      </c>
      <c r="E21" t="s">
        <v>42</v>
      </c>
      <c r="F21" t="s">
        <v>23</v>
      </c>
      <c r="G21" s="13">
        <v>45656</v>
      </c>
      <c r="H21">
        <v>156</v>
      </c>
      <c r="I21">
        <v>0</v>
      </c>
      <c r="J21" t="s">
        <v>36</v>
      </c>
      <c r="K21" t="s">
        <v>25</v>
      </c>
      <c r="L21" t="s">
        <v>37</v>
      </c>
      <c r="M21">
        <v>34</v>
      </c>
      <c r="N21" t="s">
        <v>30</v>
      </c>
      <c r="O21" t="s">
        <v>28</v>
      </c>
      <c r="P21" t="s">
        <v>29</v>
      </c>
      <c r="Q21" t="s">
        <v>27</v>
      </c>
      <c r="R21">
        <v>1</v>
      </c>
    </row>
    <row r="22" spans="1:18">
      <c r="A22" t="s">
        <v>105</v>
      </c>
      <c r="B22" t="s">
        <v>106</v>
      </c>
      <c r="C22" t="s">
        <v>107</v>
      </c>
      <c r="D22" t="s">
        <v>21</v>
      </c>
      <c r="E22" t="s">
        <v>22</v>
      </c>
      <c r="F22" t="s">
        <v>35</v>
      </c>
      <c r="G22" s="13">
        <v>45654</v>
      </c>
      <c r="H22">
        <v>117</v>
      </c>
      <c r="I22">
        <v>0</v>
      </c>
      <c r="J22" t="s">
        <v>36</v>
      </c>
      <c r="K22" t="s">
        <v>25</v>
      </c>
      <c r="L22" t="s">
        <v>37</v>
      </c>
      <c r="M22">
        <v>17</v>
      </c>
      <c r="N22" t="s">
        <v>27</v>
      </c>
      <c r="O22" t="s">
        <v>28</v>
      </c>
      <c r="P22" t="s">
        <v>29</v>
      </c>
      <c r="Q22" t="s">
        <v>27</v>
      </c>
      <c r="R22">
        <v>0</v>
      </c>
    </row>
    <row r="23" spans="1:18">
      <c r="A23" t="s">
        <v>108</v>
      </c>
      <c r="B23" t="s">
        <v>109</v>
      </c>
      <c r="C23" t="s">
        <v>110</v>
      </c>
      <c r="D23" t="s">
        <v>49</v>
      </c>
      <c r="E23" t="s">
        <v>22</v>
      </c>
      <c r="F23" t="s">
        <v>43</v>
      </c>
      <c r="G23" s="13">
        <v>45641</v>
      </c>
      <c r="H23">
        <v>109</v>
      </c>
      <c r="I23">
        <v>0</v>
      </c>
      <c r="J23" t="s">
        <v>36</v>
      </c>
      <c r="K23" t="s">
        <v>25</v>
      </c>
      <c r="L23" t="s">
        <v>37</v>
      </c>
      <c r="M23">
        <v>15</v>
      </c>
      <c r="N23" t="s">
        <v>27</v>
      </c>
      <c r="O23" t="s">
        <v>28</v>
      </c>
      <c r="P23" t="s">
        <v>29</v>
      </c>
      <c r="Q23" t="s">
        <v>27</v>
      </c>
      <c r="R23">
        <v>0</v>
      </c>
    </row>
    <row r="24" spans="1:18">
      <c r="A24" t="s">
        <v>111</v>
      </c>
      <c r="B24" t="s">
        <v>112</v>
      </c>
      <c r="C24" t="s">
        <v>113</v>
      </c>
      <c r="D24" t="s">
        <v>57</v>
      </c>
      <c r="E24" t="s">
        <v>34</v>
      </c>
      <c r="F24" t="s">
        <v>80</v>
      </c>
      <c r="G24" s="13">
        <v>45651</v>
      </c>
      <c r="H24">
        <v>167</v>
      </c>
      <c r="I24">
        <v>0</v>
      </c>
      <c r="J24" t="s">
        <v>36</v>
      </c>
      <c r="K24" t="s">
        <v>25</v>
      </c>
      <c r="L24" t="s">
        <v>26</v>
      </c>
      <c r="M24">
        <v>37</v>
      </c>
      <c r="N24" t="s">
        <v>30</v>
      </c>
      <c r="O24" t="s">
        <v>28</v>
      </c>
      <c r="P24" t="s">
        <v>29</v>
      </c>
      <c r="Q24" t="s">
        <v>27</v>
      </c>
      <c r="R24">
        <v>1</v>
      </c>
    </row>
    <row r="25" spans="1:18">
      <c r="A25" t="s">
        <v>114</v>
      </c>
      <c r="B25" t="s">
        <v>115</v>
      </c>
      <c r="C25" t="s">
        <v>116</v>
      </c>
      <c r="D25" t="s">
        <v>57</v>
      </c>
      <c r="E25" t="s">
        <v>22</v>
      </c>
      <c r="F25" t="s">
        <v>73</v>
      </c>
      <c r="G25" s="13">
        <v>45642</v>
      </c>
      <c r="H25">
        <v>114</v>
      </c>
      <c r="I25">
        <v>5.31</v>
      </c>
      <c r="J25" t="s">
        <v>24</v>
      </c>
      <c r="K25" t="s">
        <v>25</v>
      </c>
      <c r="L25" t="s">
        <v>26</v>
      </c>
      <c r="M25">
        <v>9</v>
      </c>
      <c r="N25" t="s">
        <v>27</v>
      </c>
      <c r="O25" t="s">
        <v>28</v>
      </c>
      <c r="P25" t="s">
        <v>29</v>
      </c>
      <c r="Q25" t="s">
        <v>30</v>
      </c>
      <c r="R25">
        <v>0</v>
      </c>
    </row>
    <row r="26" spans="1:18">
      <c r="A26" t="s">
        <v>117</v>
      </c>
      <c r="B26" t="s">
        <v>118</v>
      </c>
      <c r="C26" t="s">
        <v>119</v>
      </c>
      <c r="D26" t="s">
        <v>21</v>
      </c>
      <c r="E26" t="s">
        <v>34</v>
      </c>
      <c r="F26" t="s">
        <v>58</v>
      </c>
      <c r="G26" s="13">
        <v>45655</v>
      </c>
      <c r="H26">
        <v>83</v>
      </c>
      <c r="I26">
        <v>0</v>
      </c>
      <c r="J26" t="s">
        <v>36</v>
      </c>
      <c r="K26" t="s">
        <v>25</v>
      </c>
      <c r="L26" t="s">
        <v>37</v>
      </c>
      <c r="M26">
        <v>49</v>
      </c>
      <c r="N26" t="s">
        <v>27</v>
      </c>
      <c r="O26" t="s">
        <v>28</v>
      </c>
      <c r="P26" t="s">
        <v>29</v>
      </c>
      <c r="Q26" t="s">
        <v>27</v>
      </c>
      <c r="R26">
        <v>0</v>
      </c>
    </row>
    <row r="27" spans="1:18">
      <c r="A27" t="s">
        <v>120</v>
      </c>
      <c r="B27" t="s">
        <v>121</v>
      </c>
      <c r="C27" t="s">
        <v>122</v>
      </c>
      <c r="D27" t="s">
        <v>21</v>
      </c>
      <c r="E27" t="s">
        <v>22</v>
      </c>
      <c r="F27" t="s">
        <v>58</v>
      </c>
      <c r="G27" s="13">
        <v>45652</v>
      </c>
      <c r="H27">
        <v>154</v>
      </c>
      <c r="I27">
        <v>0</v>
      </c>
      <c r="J27" t="s">
        <v>36</v>
      </c>
      <c r="K27" t="s">
        <v>25</v>
      </c>
      <c r="L27" t="s">
        <v>37</v>
      </c>
      <c r="M27">
        <v>22</v>
      </c>
      <c r="N27" t="s">
        <v>30</v>
      </c>
      <c r="O27" t="s">
        <v>28</v>
      </c>
      <c r="P27" t="s">
        <v>29</v>
      </c>
      <c r="Q27" t="s">
        <v>27</v>
      </c>
      <c r="R27">
        <v>1</v>
      </c>
    </row>
    <row r="28" spans="1:18">
      <c r="A28" t="s">
        <v>123</v>
      </c>
      <c r="B28" t="s">
        <v>124</v>
      </c>
      <c r="C28" t="s">
        <v>125</v>
      </c>
      <c r="D28" t="s">
        <v>49</v>
      </c>
      <c r="E28" t="s">
        <v>42</v>
      </c>
      <c r="F28" t="s">
        <v>58</v>
      </c>
      <c r="G28" s="13">
        <v>45639</v>
      </c>
      <c r="H28">
        <v>177</v>
      </c>
      <c r="I28">
        <v>0</v>
      </c>
      <c r="J28" t="s">
        <v>36</v>
      </c>
      <c r="K28" t="s">
        <v>25</v>
      </c>
      <c r="L28" t="s">
        <v>37</v>
      </c>
      <c r="M28">
        <v>25</v>
      </c>
      <c r="N28" t="s">
        <v>30</v>
      </c>
      <c r="O28" t="s">
        <v>28</v>
      </c>
      <c r="P28" t="s">
        <v>29</v>
      </c>
      <c r="Q28" t="s">
        <v>27</v>
      </c>
      <c r="R28">
        <v>1</v>
      </c>
    </row>
    <row r="29" spans="1:18">
      <c r="A29" t="s">
        <v>126</v>
      </c>
      <c r="B29" t="s">
        <v>127</v>
      </c>
      <c r="C29" t="s">
        <v>128</v>
      </c>
      <c r="D29" t="s">
        <v>49</v>
      </c>
      <c r="E29" t="s">
        <v>22</v>
      </c>
      <c r="F29" t="s">
        <v>73</v>
      </c>
      <c r="G29" s="13">
        <v>45639</v>
      </c>
      <c r="H29">
        <v>133</v>
      </c>
      <c r="I29">
        <v>8.0500000000000007</v>
      </c>
      <c r="J29" t="s">
        <v>129</v>
      </c>
      <c r="K29" t="s">
        <v>25</v>
      </c>
      <c r="L29" t="s">
        <v>26</v>
      </c>
      <c r="M29">
        <v>35</v>
      </c>
      <c r="N29" t="s">
        <v>27</v>
      </c>
      <c r="O29" t="s">
        <v>28</v>
      </c>
      <c r="P29" t="s">
        <v>29</v>
      </c>
      <c r="Q29" t="s">
        <v>30</v>
      </c>
      <c r="R29">
        <v>0</v>
      </c>
    </row>
    <row r="30" spans="1:18">
      <c r="A30" t="s">
        <v>130</v>
      </c>
      <c r="B30" t="s">
        <v>131</v>
      </c>
      <c r="C30" t="s">
        <v>132</v>
      </c>
      <c r="D30" t="s">
        <v>49</v>
      </c>
      <c r="E30" t="s">
        <v>34</v>
      </c>
      <c r="F30" t="s">
        <v>73</v>
      </c>
      <c r="G30" s="13">
        <v>45646</v>
      </c>
      <c r="H30">
        <v>72</v>
      </c>
      <c r="I30">
        <v>0</v>
      </c>
      <c r="J30" t="s">
        <v>36</v>
      </c>
      <c r="K30" t="s">
        <v>25</v>
      </c>
      <c r="L30" t="s">
        <v>37</v>
      </c>
      <c r="M30">
        <v>34</v>
      </c>
      <c r="N30" t="s">
        <v>27</v>
      </c>
      <c r="O30" t="s">
        <v>28</v>
      </c>
      <c r="P30" t="s">
        <v>29</v>
      </c>
      <c r="Q30" t="s">
        <v>27</v>
      </c>
      <c r="R30">
        <v>0</v>
      </c>
    </row>
    <row r="31" spans="1:18">
      <c r="A31" t="s">
        <v>133</v>
      </c>
      <c r="B31" t="s">
        <v>134</v>
      </c>
      <c r="C31" t="s">
        <v>135</v>
      </c>
      <c r="D31" t="s">
        <v>57</v>
      </c>
      <c r="E31" t="s">
        <v>34</v>
      </c>
      <c r="F31" t="s">
        <v>35</v>
      </c>
      <c r="G31" s="13">
        <v>45650</v>
      </c>
      <c r="H31">
        <v>175</v>
      </c>
      <c r="I31">
        <v>0</v>
      </c>
      <c r="J31" t="s">
        <v>36</v>
      </c>
      <c r="K31" t="s">
        <v>53</v>
      </c>
      <c r="L31" t="s">
        <v>37</v>
      </c>
      <c r="M31">
        <v>22</v>
      </c>
      <c r="N31" t="s">
        <v>30</v>
      </c>
      <c r="O31" t="s">
        <v>28</v>
      </c>
      <c r="P31" t="s">
        <v>29</v>
      </c>
      <c r="Q31" t="s">
        <v>27</v>
      </c>
      <c r="R31">
        <v>1</v>
      </c>
    </row>
    <row r="32" spans="1:18">
      <c r="A32" t="s">
        <v>136</v>
      </c>
      <c r="B32" t="s">
        <v>137</v>
      </c>
      <c r="C32" t="s">
        <v>138</v>
      </c>
      <c r="D32" t="s">
        <v>41</v>
      </c>
      <c r="E32" t="s">
        <v>22</v>
      </c>
      <c r="F32" t="s">
        <v>35</v>
      </c>
      <c r="G32" s="13">
        <v>45655</v>
      </c>
      <c r="H32">
        <v>166</v>
      </c>
      <c r="I32">
        <v>0</v>
      </c>
      <c r="J32" t="s">
        <v>36</v>
      </c>
      <c r="K32" t="s">
        <v>53</v>
      </c>
      <c r="L32" t="s">
        <v>37</v>
      </c>
      <c r="M32">
        <v>30</v>
      </c>
      <c r="N32" t="s">
        <v>30</v>
      </c>
      <c r="O32" t="s">
        <v>28</v>
      </c>
      <c r="P32" t="s">
        <v>29</v>
      </c>
      <c r="Q32" t="s">
        <v>27</v>
      </c>
      <c r="R32">
        <v>1</v>
      </c>
    </row>
    <row r="33" spans="1:18">
      <c r="A33" t="s">
        <v>139</v>
      </c>
      <c r="B33" t="s">
        <v>140</v>
      </c>
      <c r="C33" t="s">
        <v>141</v>
      </c>
      <c r="D33" t="s">
        <v>41</v>
      </c>
      <c r="E33" t="s">
        <v>34</v>
      </c>
      <c r="F33" t="s">
        <v>73</v>
      </c>
      <c r="G33" s="13">
        <v>45652</v>
      </c>
      <c r="H33">
        <v>154</v>
      </c>
      <c r="I33">
        <v>0</v>
      </c>
      <c r="J33" t="s">
        <v>36</v>
      </c>
      <c r="K33" t="s">
        <v>25</v>
      </c>
      <c r="L33" t="s">
        <v>26</v>
      </c>
      <c r="M33">
        <v>14</v>
      </c>
      <c r="N33" t="s">
        <v>30</v>
      </c>
      <c r="O33" t="s">
        <v>28</v>
      </c>
      <c r="P33" t="s">
        <v>29</v>
      </c>
      <c r="Q33" t="s">
        <v>27</v>
      </c>
      <c r="R33">
        <v>1</v>
      </c>
    </row>
    <row r="34" spans="1:18">
      <c r="A34" t="s">
        <v>142</v>
      </c>
      <c r="B34" t="s">
        <v>143</v>
      </c>
      <c r="C34" t="s">
        <v>144</v>
      </c>
      <c r="D34" t="s">
        <v>62</v>
      </c>
      <c r="E34" t="s">
        <v>34</v>
      </c>
      <c r="F34" t="s">
        <v>35</v>
      </c>
      <c r="G34" s="13">
        <v>45644</v>
      </c>
      <c r="H34">
        <v>174</v>
      </c>
      <c r="I34">
        <v>0</v>
      </c>
      <c r="J34" t="s">
        <v>36</v>
      </c>
      <c r="K34" t="s">
        <v>66</v>
      </c>
      <c r="L34" t="s">
        <v>37</v>
      </c>
      <c r="M34">
        <v>50</v>
      </c>
      <c r="N34" t="s">
        <v>30</v>
      </c>
      <c r="O34" t="s">
        <v>28</v>
      </c>
      <c r="P34" t="s">
        <v>29</v>
      </c>
      <c r="Q34" t="s">
        <v>27</v>
      </c>
      <c r="R34">
        <v>1</v>
      </c>
    </row>
    <row r="35" spans="1:18">
      <c r="A35" t="s">
        <v>145</v>
      </c>
      <c r="B35" t="s">
        <v>146</v>
      </c>
      <c r="C35" t="s">
        <v>147</v>
      </c>
      <c r="D35" t="s">
        <v>62</v>
      </c>
      <c r="E35" t="s">
        <v>22</v>
      </c>
      <c r="F35" t="s">
        <v>80</v>
      </c>
      <c r="G35" s="13">
        <v>45647</v>
      </c>
      <c r="H35">
        <v>77</v>
      </c>
      <c r="I35">
        <v>0</v>
      </c>
      <c r="J35" t="s">
        <v>36</v>
      </c>
      <c r="K35" t="s">
        <v>25</v>
      </c>
      <c r="L35" t="s">
        <v>37</v>
      </c>
      <c r="M35">
        <v>11</v>
      </c>
      <c r="N35" t="s">
        <v>27</v>
      </c>
      <c r="O35" t="s">
        <v>28</v>
      </c>
      <c r="P35" t="s">
        <v>29</v>
      </c>
      <c r="Q35" t="s">
        <v>27</v>
      </c>
      <c r="R35">
        <v>0</v>
      </c>
    </row>
    <row r="36" spans="1:18">
      <c r="A36" t="s">
        <v>148</v>
      </c>
      <c r="B36" t="s">
        <v>149</v>
      </c>
      <c r="C36" t="s">
        <v>150</v>
      </c>
      <c r="D36" t="s">
        <v>41</v>
      </c>
      <c r="E36" t="s">
        <v>42</v>
      </c>
      <c r="F36" t="s">
        <v>80</v>
      </c>
      <c r="G36" s="13">
        <v>45641</v>
      </c>
      <c r="H36">
        <v>175</v>
      </c>
      <c r="I36">
        <v>0</v>
      </c>
      <c r="J36" t="s">
        <v>36</v>
      </c>
      <c r="K36" t="s">
        <v>45</v>
      </c>
      <c r="L36" t="s">
        <v>26</v>
      </c>
      <c r="M36">
        <v>10</v>
      </c>
      <c r="N36" t="s">
        <v>30</v>
      </c>
      <c r="O36" t="s">
        <v>28</v>
      </c>
      <c r="P36" t="s">
        <v>29</v>
      </c>
      <c r="Q36" t="s">
        <v>27</v>
      </c>
      <c r="R36">
        <v>1</v>
      </c>
    </row>
    <row r="37" spans="1:18">
      <c r="A37" t="s">
        <v>151</v>
      </c>
      <c r="B37" t="s">
        <v>152</v>
      </c>
      <c r="C37" t="s">
        <v>153</v>
      </c>
      <c r="D37" t="s">
        <v>41</v>
      </c>
      <c r="E37" t="s">
        <v>22</v>
      </c>
      <c r="F37" t="s">
        <v>80</v>
      </c>
      <c r="G37" s="13">
        <v>45660</v>
      </c>
      <c r="H37">
        <v>172</v>
      </c>
      <c r="I37">
        <v>0</v>
      </c>
      <c r="J37" t="s">
        <v>36</v>
      </c>
      <c r="K37" t="s">
        <v>66</v>
      </c>
      <c r="L37" t="s">
        <v>37</v>
      </c>
      <c r="M37">
        <v>4</v>
      </c>
      <c r="N37" t="s">
        <v>30</v>
      </c>
      <c r="O37" t="s">
        <v>154</v>
      </c>
      <c r="P37" t="s">
        <v>29</v>
      </c>
      <c r="Q37" t="s">
        <v>27</v>
      </c>
      <c r="R37">
        <v>1</v>
      </c>
    </row>
    <row r="38" spans="1:18">
      <c r="A38" t="s">
        <v>155</v>
      </c>
      <c r="B38" t="s">
        <v>156</v>
      </c>
      <c r="C38" t="s">
        <v>157</v>
      </c>
      <c r="D38" t="s">
        <v>49</v>
      </c>
      <c r="E38" t="s">
        <v>42</v>
      </c>
      <c r="F38" t="s">
        <v>73</v>
      </c>
      <c r="G38" s="13">
        <v>45672</v>
      </c>
      <c r="H38">
        <v>171</v>
      </c>
      <c r="I38">
        <v>0</v>
      </c>
      <c r="J38" t="s">
        <v>36</v>
      </c>
      <c r="K38" t="s">
        <v>25</v>
      </c>
      <c r="L38" t="s">
        <v>37</v>
      </c>
      <c r="M38">
        <v>35</v>
      </c>
      <c r="N38" t="s">
        <v>30</v>
      </c>
      <c r="O38" t="s">
        <v>154</v>
      </c>
      <c r="P38" t="s">
        <v>29</v>
      </c>
      <c r="Q38" t="s">
        <v>27</v>
      </c>
      <c r="R38">
        <v>1</v>
      </c>
    </row>
    <row r="39" spans="1:18">
      <c r="A39" t="s">
        <v>158</v>
      </c>
      <c r="B39" t="s">
        <v>159</v>
      </c>
      <c r="C39" t="s">
        <v>160</v>
      </c>
      <c r="D39" t="s">
        <v>57</v>
      </c>
      <c r="E39" t="s">
        <v>22</v>
      </c>
      <c r="F39" t="s">
        <v>35</v>
      </c>
      <c r="G39" s="13">
        <v>45664</v>
      </c>
      <c r="H39">
        <v>163</v>
      </c>
      <c r="I39">
        <v>0</v>
      </c>
      <c r="J39" t="s">
        <v>36</v>
      </c>
      <c r="K39" t="s">
        <v>25</v>
      </c>
      <c r="L39" t="s">
        <v>37</v>
      </c>
      <c r="M39">
        <v>50</v>
      </c>
      <c r="N39" t="s">
        <v>30</v>
      </c>
      <c r="O39" t="s">
        <v>154</v>
      </c>
      <c r="P39" t="s">
        <v>29</v>
      </c>
      <c r="Q39" t="s">
        <v>27</v>
      </c>
      <c r="R39">
        <v>1</v>
      </c>
    </row>
    <row r="40" spans="1:18">
      <c r="A40" t="s">
        <v>161</v>
      </c>
      <c r="B40" t="s">
        <v>162</v>
      </c>
      <c r="C40" t="s">
        <v>163</v>
      </c>
      <c r="D40" t="s">
        <v>57</v>
      </c>
      <c r="E40" t="s">
        <v>34</v>
      </c>
      <c r="F40" t="s">
        <v>35</v>
      </c>
      <c r="G40" s="13">
        <v>45681</v>
      </c>
      <c r="H40">
        <v>128</v>
      </c>
      <c r="I40">
        <v>0</v>
      </c>
      <c r="J40" t="s">
        <v>36</v>
      </c>
      <c r="K40" t="s">
        <v>53</v>
      </c>
      <c r="L40" t="s">
        <v>37</v>
      </c>
      <c r="M40">
        <v>7</v>
      </c>
      <c r="N40" t="s">
        <v>27</v>
      </c>
      <c r="O40" t="s">
        <v>154</v>
      </c>
      <c r="P40" t="s">
        <v>29</v>
      </c>
      <c r="Q40" t="s">
        <v>27</v>
      </c>
      <c r="R40">
        <v>0</v>
      </c>
    </row>
    <row r="41" spans="1:18">
      <c r="A41" t="s">
        <v>164</v>
      </c>
      <c r="B41" t="s">
        <v>165</v>
      </c>
      <c r="C41" t="s">
        <v>166</v>
      </c>
      <c r="D41" t="s">
        <v>49</v>
      </c>
      <c r="E41" t="s">
        <v>42</v>
      </c>
      <c r="F41" t="s">
        <v>43</v>
      </c>
      <c r="G41" s="13">
        <v>45685</v>
      </c>
      <c r="H41">
        <v>173</v>
      </c>
      <c r="I41">
        <v>0</v>
      </c>
      <c r="J41" t="s">
        <v>36</v>
      </c>
      <c r="K41" t="s">
        <v>66</v>
      </c>
      <c r="L41" t="s">
        <v>37</v>
      </c>
      <c r="M41">
        <v>30</v>
      </c>
      <c r="N41" t="s">
        <v>30</v>
      </c>
      <c r="O41" t="s">
        <v>154</v>
      </c>
      <c r="P41" t="s">
        <v>29</v>
      </c>
      <c r="Q41" t="s">
        <v>27</v>
      </c>
      <c r="R41">
        <v>1</v>
      </c>
    </row>
    <row r="42" spans="1:18">
      <c r="A42" t="s">
        <v>167</v>
      </c>
      <c r="B42" t="s">
        <v>168</v>
      </c>
      <c r="C42" t="s">
        <v>169</v>
      </c>
      <c r="D42" t="s">
        <v>62</v>
      </c>
      <c r="E42" t="s">
        <v>34</v>
      </c>
      <c r="F42" t="s">
        <v>43</v>
      </c>
      <c r="G42" s="13">
        <v>45673</v>
      </c>
      <c r="H42">
        <v>82</v>
      </c>
      <c r="I42">
        <v>24.1</v>
      </c>
      <c r="J42" t="s">
        <v>129</v>
      </c>
      <c r="K42" t="s">
        <v>25</v>
      </c>
      <c r="L42" t="s">
        <v>26</v>
      </c>
      <c r="M42">
        <v>34</v>
      </c>
      <c r="N42" t="s">
        <v>27</v>
      </c>
      <c r="O42" t="s">
        <v>154</v>
      </c>
      <c r="P42" t="s">
        <v>29</v>
      </c>
      <c r="Q42" t="s">
        <v>30</v>
      </c>
      <c r="R42">
        <v>0</v>
      </c>
    </row>
    <row r="43" spans="1:18">
      <c r="A43" t="s">
        <v>170</v>
      </c>
      <c r="B43" t="s">
        <v>171</v>
      </c>
      <c r="C43" t="s">
        <v>172</v>
      </c>
      <c r="D43" t="s">
        <v>57</v>
      </c>
      <c r="E43" t="s">
        <v>34</v>
      </c>
      <c r="F43" t="s">
        <v>73</v>
      </c>
      <c r="G43" s="13">
        <v>45676</v>
      </c>
      <c r="H43">
        <v>112</v>
      </c>
      <c r="I43">
        <v>30.74</v>
      </c>
      <c r="J43" t="s">
        <v>173</v>
      </c>
      <c r="K43" t="s">
        <v>25</v>
      </c>
      <c r="L43" t="s">
        <v>26</v>
      </c>
      <c r="M43">
        <v>10</v>
      </c>
      <c r="N43" t="s">
        <v>27</v>
      </c>
      <c r="O43" t="s">
        <v>154</v>
      </c>
      <c r="P43" t="s">
        <v>29</v>
      </c>
      <c r="Q43" t="s">
        <v>30</v>
      </c>
      <c r="R43">
        <v>0</v>
      </c>
    </row>
    <row r="44" spans="1:18">
      <c r="A44" t="s">
        <v>174</v>
      </c>
      <c r="B44" t="s">
        <v>175</v>
      </c>
      <c r="C44" t="s">
        <v>176</v>
      </c>
      <c r="D44" t="s">
        <v>57</v>
      </c>
      <c r="E44" t="s">
        <v>34</v>
      </c>
      <c r="F44" t="s">
        <v>58</v>
      </c>
      <c r="G44" s="13">
        <v>45673</v>
      </c>
      <c r="H44">
        <v>111</v>
      </c>
      <c r="I44">
        <v>0</v>
      </c>
      <c r="J44" t="s">
        <v>36</v>
      </c>
      <c r="K44" t="s">
        <v>25</v>
      </c>
      <c r="L44" t="s">
        <v>37</v>
      </c>
      <c r="M44">
        <v>38</v>
      </c>
      <c r="N44" t="s">
        <v>27</v>
      </c>
      <c r="O44" t="s">
        <v>154</v>
      </c>
      <c r="P44" t="s">
        <v>29</v>
      </c>
      <c r="Q44" t="s">
        <v>27</v>
      </c>
      <c r="R44">
        <v>0</v>
      </c>
    </row>
    <row r="45" spans="1:18">
      <c r="A45" t="s">
        <v>177</v>
      </c>
      <c r="B45" t="s">
        <v>178</v>
      </c>
      <c r="C45" t="s">
        <v>179</v>
      </c>
      <c r="D45" t="s">
        <v>62</v>
      </c>
      <c r="E45" t="s">
        <v>22</v>
      </c>
      <c r="F45" t="s">
        <v>23</v>
      </c>
      <c r="G45" s="13">
        <v>45658</v>
      </c>
      <c r="H45">
        <v>82</v>
      </c>
      <c r="I45">
        <v>0</v>
      </c>
      <c r="J45" t="s">
        <v>36</v>
      </c>
      <c r="K45" t="s">
        <v>53</v>
      </c>
      <c r="L45" t="s">
        <v>37</v>
      </c>
      <c r="M45">
        <v>26</v>
      </c>
      <c r="N45" t="s">
        <v>27</v>
      </c>
      <c r="O45" t="s">
        <v>154</v>
      </c>
      <c r="P45" t="s">
        <v>29</v>
      </c>
      <c r="Q45" t="s">
        <v>27</v>
      </c>
      <c r="R45">
        <v>0</v>
      </c>
    </row>
    <row r="46" spans="1:18">
      <c r="A46" t="s">
        <v>180</v>
      </c>
      <c r="B46" t="s">
        <v>181</v>
      </c>
      <c r="C46" t="s">
        <v>182</v>
      </c>
      <c r="D46" t="s">
        <v>41</v>
      </c>
      <c r="E46" t="s">
        <v>22</v>
      </c>
      <c r="F46" t="s">
        <v>35</v>
      </c>
      <c r="G46" s="13">
        <v>45665</v>
      </c>
      <c r="H46">
        <v>166</v>
      </c>
      <c r="I46">
        <v>23.59</v>
      </c>
      <c r="J46" t="s">
        <v>44</v>
      </c>
      <c r="K46" t="s">
        <v>25</v>
      </c>
      <c r="L46" t="s">
        <v>26</v>
      </c>
      <c r="M46">
        <v>19</v>
      </c>
      <c r="N46" t="s">
        <v>30</v>
      </c>
      <c r="O46" t="s">
        <v>154</v>
      </c>
      <c r="P46" t="s">
        <v>29</v>
      </c>
      <c r="Q46" t="s">
        <v>30</v>
      </c>
      <c r="R46">
        <v>1</v>
      </c>
    </row>
    <row r="47" spans="1:18">
      <c r="A47" t="s">
        <v>183</v>
      </c>
      <c r="B47" t="s">
        <v>184</v>
      </c>
      <c r="C47" t="s">
        <v>185</v>
      </c>
      <c r="D47" t="s">
        <v>21</v>
      </c>
      <c r="E47" t="s">
        <v>42</v>
      </c>
      <c r="F47" t="s">
        <v>73</v>
      </c>
      <c r="G47" s="13">
        <v>45658</v>
      </c>
      <c r="H47">
        <v>77</v>
      </c>
      <c r="I47">
        <v>39.880000000000003</v>
      </c>
      <c r="J47" t="s">
        <v>129</v>
      </c>
      <c r="K47" t="s">
        <v>25</v>
      </c>
      <c r="L47" t="s">
        <v>26</v>
      </c>
      <c r="M47">
        <v>25</v>
      </c>
      <c r="N47" t="s">
        <v>27</v>
      </c>
      <c r="O47" t="s">
        <v>154</v>
      </c>
      <c r="P47" t="s">
        <v>29</v>
      </c>
      <c r="Q47" t="s">
        <v>30</v>
      </c>
      <c r="R47">
        <v>0</v>
      </c>
    </row>
    <row r="48" spans="1:18">
      <c r="A48" t="s">
        <v>186</v>
      </c>
      <c r="B48" t="s">
        <v>187</v>
      </c>
      <c r="C48" t="s">
        <v>188</v>
      </c>
      <c r="D48" t="s">
        <v>62</v>
      </c>
      <c r="E48" t="s">
        <v>34</v>
      </c>
      <c r="F48" t="s">
        <v>73</v>
      </c>
      <c r="G48" s="13">
        <v>45662</v>
      </c>
      <c r="H48">
        <v>64</v>
      </c>
      <c r="I48">
        <v>0</v>
      </c>
      <c r="J48" t="s">
        <v>36</v>
      </c>
      <c r="K48" t="s">
        <v>66</v>
      </c>
      <c r="L48" t="s">
        <v>37</v>
      </c>
      <c r="M48">
        <v>13</v>
      </c>
      <c r="N48" t="s">
        <v>27</v>
      </c>
      <c r="O48" t="s">
        <v>154</v>
      </c>
      <c r="P48" t="s">
        <v>29</v>
      </c>
      <c r="Q48" t="s">
        <v>27</v>
      </c>
      <c r="R48">
        <v>0</v>
      </c>
    </row>
    <row r="49" spans="1:18">
      <c r="A49" t="s">
        <v>189</v>
      </c>
      <c r="B49" t="s">
        <v>190</v>
      </c>
      <c r="C49" t="s">
        <v>191</v>
      </c>
      <c r="D49" t="s">
        <v>49</v>
      </c>
      <c r="E49" t="s">
        <v>42</v>
      </c>
      <c r="F49" t="s">
        <v>35</v>
      </c>
      <c r="G49" s="13">
        <v>45674</v>
      </c>
      <c r="H49">
        <v>165</v>
      </c>
      <c r="I49">
        <v>0</v>
      </c>
      <c r="J49" t="s">
        <v>36</v>
      </c>
      <c r="K49" t="s">
        <v>25</v>
      </c>
      <c r="L49" t="s">
        <v>37</v>
      </c>
      <c r="M49">
        <v>15</v>
      </c>
      <c r="N49" t="s">
        <v>30</v>
      </c>
      <c r="O49" t="s">
        <v>154</v>
      </c>
      <c r="P49" t="s">
        <v>29</v>
      </c>
      <c r="Q49" t="s">
        <v>27</v>
      </c>
      <c r="R49">
        <v>1</v>
      </c>
    </row>
    <row r="50" spans="1:18">
      <c r="A50" t="s">
        <v>192</v>
      </c>
      <c r="B50" t="s">
        <v>193</v>
      </c>
      <c r="C50" t="s">
        <v>194</v>
      </c>
      <c r="D50" t="s">
        <v>41</v>
      </c>
      <c r="E50" t="s">
        <v>34</v>
      </c>
      <c r="F50" t="s">
        <v>73</v>
      </c>
      <c r="G50" s="13">
        <v>45682</v>
      </c>
      <c r="H50">
        <v>79</v>
      </c>
      <c r="I50">
        <v>0</v>
      </c>
      <c r="J50" t="s">
        <v>36</v>
      </c>
      <c r="K50" t="s">
        <v>66</v>
      </c>
      <c r="L50" t="s">
        <v>37</v>
      </c>
      <c r="M50">
        <v>18</v>
      </c>
      <c r="N50" t="s">
        <v>27</v>
      </c>
      <c r="O50" t="s">
        <v>154</v>
      </c>
      <c r="P50" t="s">
        <v>29</v>
      </c>
      <c r="Q50" t="s">
        <v>27</v>
      </c>
      <c r="R50">
        <v>0</v>
      </c>
    </row>
    <row r="51" spans="1:18">
      <c r="A51" t="s">
        <v>195</v>
      </c>
      <c r="B51" t="s">
        <v>196</v>
      </c>
      <c r="C51" t="s">
        <v>197</v>
      </c>
      <c r="D51" t="s">
        <v>21</v>
      </c>
      <c r="E51" t="s">
        <v>42</v>
      </c>
      <c r="F51" t="s">
        <v>80</v>
      </c>
      <c r="G51" s="13">
        <v>45659</v>
      </c>
      <c r="H51">
        <v>84</v>
      </c>
      <c r="I51">
        <v>0</v>
      </c>
      <c r="J51" t="s">
        <v>36</v>
      </c>
      <c r="K51" t="s">
        <v>25</v>
      </c>
      <c r="L51" t="s">
        <v>37</v>
      </c>
      <c r="M51">
        <v>11</v>
      </c>
      <c r="N51" t="s">
        <v>27</v>
      </c>
      <c r="O51" t="s">
        <v>154</v>
      </c>
      <c r="P51" t="s">
        <v>29</v>
      </c>
      <c r="Q51" t="s">
        <v>27</v>
      </c>
      <c r="R51">
        <v>0</v>
      </c>
    </row>
    <row r="52" spans="1:18">
      <c r="A52" t="s">
        <v>198</v>
      </c>
      <c r="B52" t="s">
        <v>199</v>
      </c>
      <c r="C52" t="s">
        <v>200</v>
      </c>
      <c r="D52" t="s">
        <v>57</v>
      </c>
      <c r="E52" t="s">
        <v>42</v>
      </c>
      <c r="F52" t="s">
        <v>58</v>
      </c>
      <c r="G52" s="13">
        <v>45665</v>
      </c>
      <c r="H52">
        <v>147</v>
      </c>
      <c r="I52">
        <v>0</v>
      </c>
      <c r="J52" t="s">
        <v>36</v>
      </c>
      <c r="K52" t="s">
        <v>25</v>
      </c>
      <c r="L52" t="s">
        <v>37</v>
      </c>
      <c r="M52">
        <v>14</v>
      </c>
      <c r="N52" t="s">
        <v>27</v>
      </c>
      <c r="O52" t="s">
        <v>154</v>
      </c>
      <c r="P52" t="s">
        <v>29</v>
      </c>
      <c r="Q52" t="s">
        <v>27</v>
      </c>
      <c r="R52">
        <v>0</v>
      </c>
    </row>
    <row r="53" spans="1:18">
      <c r="A53" t="s">
        <v>201</v>
      </c>
      <c r="B53" t="s">
        <v>202</v>
      </c>
      <c r="C53" t="s">
        <v>203</v>
      </c>
      <c r="D53" t="s">
        <v>41</v>
      </c>
      <c r="E53" t="s">
        <v>42</v>
      </c>
      <c r="F53" t="s">
        <v>80</v>
      </c>
      <c r="G53" s="13">
        <v>45666</v>
      </c>
      <c r="H53">
        <v>92</v>
      </c>
      <c r="I53">
        <v>0</v>
      </c>
      <c r="J53" t="s">
        <v>36</v>
      </c>
      <c r="K53" t="s">
        <v>25</v>
      </c>
      <c r="L53" t="s">
        <v>37</v>
      </c>
      <c r="M53">
        <v>33</v>
      </c>
      <c r="N53" t="s">
        <v>27</v>
      </c>
      <c r="O53" t="s">
        <v>154</v>
      </c>
      <c r="P53" t="s">
        <v>29</v>
      </c>
      <c r="Q53" t="s">
        <v>27</v>
      </c>
      <c r="R53">
        <v>0</v>
      </c>
    </row>
    <row r="54" spans="1:18">
      <c r="A54" t="s">
        <v>204</v>
      </c>
      <c r="B54" t="s">
        <v>205</v>
      </c>
      <c r="C54" t="s">
        <v>206</v>
      </c>
      <c r="D54" t="s">
        <v>41</v>
      </c>
      <c r="E54" t="s">
        <v>34</v>
      </c>
      <c r="F54" t="s">
        <v>23</v>
      </c>
      <c r="G54" s="13">
        <v>45669</v>
      </c>
      <c r="H54">
        <v>123</v>
      </c>
      <c r="I54">
        <v>22.4</v>
      </c>
      <c r="J54" t="s">
        <v>129</v>
      </c>
      <c r="K54" t="s">
        <v>25</v>
      </c>
      <c r="L54" t="s">
        <v>26</v>
      </c>
      <c r="M54">
        <v>33</v>
      </c>
      <c r="N54" t="s">
        <v>27</v>
      </c>
      <c r="O54" t="s">
        <v>154</v>
      </c>
      <c r="P54" t="s">
        <v>29</v>
      </c>
      <c r="Q54" t="s">
        <v>30</v>
      </c>
      <c r="R54">
        <v>0</v>
      </c>
    </row>
    <row r="55" spans="1:18">
      <c r="A55" t="s">
        <v>207</v>
      </c>
      <c r="B55" t="s">
        <v>208</v>
      </c>
      <c r="C55" t="s">
        <v>209</v>
      </c>
      <c r="D55" t="s">
        <v>49</v>
      </c>
      <c r="E55" t="s">
        <v>22</v>
      </c>
      <c r="F55" t="s">
        <v>43</v>
      </c>
      <c r="G55" s="13">
        <v>45661</v>
      </c>
      <c r="H55">
        <v>115</v>
      </c>
      <c r="I55">
        <v>0</v>
      </c>
      <c r="J55" t="s">
        <v>36</v>
      </c>
      <c r="K55" t="s">
        <v>25</v>
      </c>
      <c r="L55" t="s">
        <v>37</v>
      </c>
      <c r="M55">
        <v>17</v>
      </c>
      <c r="N55" t="s">
        <v>27</v>
      </c>
      <c r="O55" t="s">
        <v>154</v>
      </c>
      <c r="P55" t="s">
        <v>29</v>
      </c>
      <c r="Q55" t="s">
        <v>27</v>
      </c>
      <c r="R55">
        <v>0</v>
      </c>
    </row>
    <row r="56" spans="1:18">
      <c r="A56" t="s">
        <v>210</v>
      </c>
      <c r="B56" t="s">
        <v>211</v>
      </c>
      <c r="C56" t="s">
        <v>212</v>
      </c>
      <c r="D56" t="s">
        <v>21</v>
      </c>
      <c r="E56" t="s">
        <v>22</v>
      </c>
      <c r="F56" t="s">
        <v>35</v>
      </c>
      <c r="G56" s="13">
        <v>45677</v>
      </c>
      <c r="H56">
        <v>180</v>
      </c>
      <c r="I56">
        <v>0</v>
      </c>
      <c r="J56" t="s">
        <v>36</v>
      </c>
      <c r="K56" t="s">
        <v>25</v>
      </c>
      <c r="L56" t="s">
        <v>37</v>
      </c>
      <c r="M56">
        <v>28</v>
      </c>
      <c r="N56" t="s">
        <v>30</v>
      </c>
      <c r="O56" t="s">
        <v>154</v>
      </c>
      <c r="P56" t="s">
        <v>29</v>
      </c>
      <c r="Q56" t="s">
        <v>27</v>
      </c>
      <c r="R56">
        <v>1</v>
      </c>
    </row>
    <row r="57" spans="1:18">
      <c r="A57" t="s">
        <v>213</v>
      </c>
      <c r="B57" t="s">
        <v>214</v>
      </c>
      <c r="C57" t="s">
        <v>215</v>
      </c>
      <c r="D57" t="s">
        <v>57</v>
      </c>
      <c r="E57" t="s">
        <v>22</v>
      </c>
      <c r="F57" t="s">
        <v>23</v>
      </c>
      <c r="G57" s="13">
        <v>45685</v>
      </c>
      <c r="H57">
        <v>101</v>
      </c>
      <c r="I57">
        <v>0</v>
      </c>
      <c r="J57" t="s">
        <v>36</v>
      </c>
      <c r="K57" t="s">
        <v>25</v>
      </c>
      <c r="L57" t="s">
        <v>37</v>
      </c>
      <c r="M57">
        <v>6</v>
      </c>
      <c r="N57" t="s">
        <v>27</v>
      </c>
      <c r="O57" t="s">
        <v>154</v>
      </c>
      <c r="P57" t="s">
        <v>29</v>
      </c>
      <c r="Q57" t="s">
        <v>27</v>
      </c>
      <c r="R57">
        <v>0</v>
      </c>
    </row>
    <row r="58" spans="1:18">
      <c r="A58" t="s">
        <v>216</v>
      </c>
      <c r="B58" t="s">
        <v>217</v>
      </c>
      <c r="C58" t="s">
        <v>218</v>
      </c>
      <c r="D58" t="s">
        <v>41</v>
      </c>
      <c r="E58" t="s">
        <v>22</v>
      </c>
      <c r="F58" t="s">
        <v>43</v>
      </c>
      <c r="G58" s="13">
        <v>45678</v>
      </c>
      <c r="H58">
        <v>96</v>
      </c>
      <c r="I58">
        <v>0</v>
      </c>
      <c r="J58" t="s">
        <v>36</v>
      </c>
      <c r="K58" t="s">
        <v>25</v>
      </c>
      <c r="L58" t="s">
        <v>26</v>
      </c>
      <c r="M58">
        <v>38</v>
      </c>
      <c r="N58" t="s">
        <v>27</v>
      </c>
      <c r="O58" t="s">
        <v>154</v>
      </c>
      <c r="P58" t="s">
        <v>29</v>
      </c>
      <c r="Q58" t="s">
        <v>27</v>
      </c>
      <c r="R58">
        <v>0</v>
      </c>
    </row>
    <row r="59" spans="1:18">
      <c r="A59" t="s">
        <v>219</v>
      </c>
      <c r="B59" t="s">
        <v>220</v>
      </c>
      <c r="C59" t="s">
        <v>221</v>
      </c>
      <c r="D59" t="s">
        <v>41</v>
      </c>
      <c r="E59" t="s">
        <v>42</v>
      </c>
      <c r="F59" t="s">
        <v>58</v>
      </c>
      <c r="G59" s="13">
        <v>45688</v>
      </c>
      <c r="H59">
        <v>142</v>
      </c>
      <c r="I59">
        <v>0</v>
      </c>
      <c r="J59" t="s">
        <v>36</v>
      </c>
      <c r="K59" t="s">
        <v>25</v>
      </c>
      <c r="L59" t="s">
        <v>37</v>
      </c>
      <c r="M59">
        <v>3</v>
      </c>
      <c r="N59" t="s">
        <v>27</v>
      </c>
      <c r="O59" t="s">
        <v>154</v>
      </c>
      <c r="P59" t="s">
        <v>29</v>
      </c>
      <c r="Q59" t="s">
        <v>27</v>
      </c>
      <c r="R59">
        <v>0</v>
      </c>
    </row>
    <row r="60" spans="1:18">
      <c r="A60" t="s">
        <v>222</v>
      </c>
      <c r="B60" t="s">
        <v>223</v>
      </c>
      <c r="C60" t="s">
        <v>224</v>
      </c>
      <c r="D60" t="s">
        <v>49</v>
      </c>
      <c r="E60" t="s">
        <v>34</v>
      </c>
      <c r="F60" t="s">
        <v>80</v>
      </c>
      <c r="G60" s="13">
        <v>45667</v>
      </c>
      <c r="H60">
        <v>123</v>
      </c>
      <c r="I60">
        <v>0</v>
      </c>
      <c r="J60" t="s">
        <v>36</v>
      </c>
      <c r="K60" t="s">
        <v>45</v>
      </c>
      <c r="L60" t="s">
        <v>37</v>
      </c>
      <c r="M60">
        <v>12</v>
      </c>
      <c r="N60" t="s">
        <v>27</v>
      </c>
      <c r="O60" t="s">
        <v>154</v>
      </c>
      <c r="P60" t="s">
        <v>29</v>
      </c>
      <c r="Q60" t="s">
        <v>27</v>
      </c>
      <c r="R60">
        <v>0</v>
      </c>
    </row>
    <row r="61" spans="1:18">
      <c r="A61" t="s">
        <v>225</v>
      </c>
      <c r="B61" t="s">
        <v>226</v>
      </c>
      <c r="C61" t="s">
        <v>227</v>
      </c>
      <c r="D61" t="s">
        <v>57</v>
      </c>
      <c r="E61" t="s">
        <v>42</v>
      </c>
      <c r="F61" t="s">
        <v>73</v>
      </c>
      <c r="G61" s="13">
        <v>45661</v>
      </c>
      <c r="H61">
        <v>153</v>
      </c>
      <c r="I61">
        <v>0</v>
      </c>
      <c r="J61" t="s">
        <v>36</v>
      </c>
      <c r="K61" t="s">
        <v>66</v>
      </c>
      <c r="L61" t="s">
        <v>37</v>
      </c>
      <c r="M61">
        <v>15</v>
      </c>
      <c r="N61" t="s">
        <v>30</v>
      </c>
      <c r="O61" t="s">
        <v>154</v>
      </c>
      <c r="P61" t="s">
        <v>29</v>
      </c>
      <c r="Q61" t="s">
        <v>27</v>
      </c>
      <c r="R61">
        <v>1</v>
      </c>
    </row>
    <row r="62" spans="1:18">
      <c r="A62" t="s">
        <v>228</v>
      </c>
      <c r="B62" t="s">
        <v>229</v>
      </c>
      <c r="C62" t="s">
        <v>230</v>
      </c>
      <c r="D62" t="s">
        <v>21</v>
      </c>
      <c r="E62" t="s">
        <v>22</v>
      </c>
      <c r="F62" t="s">
        <v>35</v>
      </c>
      <c r="G62" s="13">
        <v>45670</v>
      </c>
      <c r="H62">
        <v>133</v>
      </c>
      <c r="I62">
        <v>0</v>
      </c>
      <c r="J62" t="s">
        <v>36</v>
      </c>
      <c r="K62" t="s">
        <v>25</v>
      </c>
      <c r="L62" t="s">
        <v>37</v>
      </c>
      <c r="M62">
        <v>35</v>
      </c>
      <c r="N62" t="s">
        <v>27</v>
      </c>
      <c r="O62" t="s">
        <v>154</v>
      </c>
      <c r="P62" t="s">
        <v>29</v>
      </c>
      <c r="Q62" t="s">
        <v>27</v>
      </c>
      <c r="R62">
        <v>0</v>
      </c>
    </row>
    <row r="63" spans="1:18">
      <c r="A63" t="s">
        <v>231</v>
      </c>
      <c r="B63" t="s">
        <v>232</v>
      </c>
      <c r="C63" t="s">
        <v>233</v>
      </c>
      <c r="D63" t="s">
        <v>62</v>
      </c>
      <c r="E63" t="s">
        <v>34</v>
      </c>
      <c r="F63" t="s">
        <v>35</v>
      </c>
      <c r="G63" s="13">
        <v>45658</v>
      </c>
      <c r="H63">
        <v>175</v>
      </c>
      <c r="I63">
        <v>0</v>
      </c>
      <c r="J63" t="s">
        <v>36</v>
      </c>
      <c r="K63" t="s">
        <v>25</v>
      </c>
      <c r="L63" t="s">
        <v>37</v>
      </c>
      <c r="M63">
        <v>49</v>
      </c>
      <c r="N63" t="s">
        <v>30</v>
      </c>
      <c r="O63" t="s">
        <v>154</v>
      </c>
      <c r="P63" t="s">
        <v>29</v>
      </c>
      <c r="Q63" t="s">
        <v>27</v>
      </c>
      <c r="R63">
        <v>1</v>
      </c>
    </row>
    <row r="64" spans="1:18">
      <c r="A64" t="s">
        <v>234</v>
      </c>
      <c r="B64" t="s">
        <v>235</v>
      </c>
      <c r="C64" t="s">
        <v>236</v>
      </c>
      <c r="D64" t="s">
        <v>41</v>
      </c>
      <c r="E64" t="s">
        <v>34</v>
      </c>
      <c r="F64" t="s">
        <v>73</v>
      </c>
      <c r="G64" s="13">
        <v>45685</v>
      </c>
      <c r="H64">
        <v>106</v>
      </c>
      <c r="I64">
        <v>0</v>
      </c>
      <c r="J64" t="s">
        <v>36</v>
      </c>
      <c r="K64" t="s">
        <v>25</v>
      </c>
      <c r="L64" t="s">
        <v>37</v>
      </c>
      <c r="M64">
        <v>15</v>
      </c>
      <c r="N64" t="s">
        <v>27</v>
      </c>
      <c r="O64" t="s">
        <v>154</v>
      </c>
      <c r="P64" t="s">
        <v>29</v>
      </c>
      <c r="Q64" t="s">
        <v>27</v>
      </c>
      <c r="R64">
        <v>0</v>
      </c>
    </row>
    <row r="65" spans="1:18">
      <c r="A65" t="s">
        <v>237</v>
      </c>
      <c r="B65" t="s">
        <v>238</v>
      </c>
      <c r="C65" t="s">
        <v>239</v>
      </c>
      <c r="D65" t="s">
        <v>21</v>
      </c>
      <c r="E65" t="s">
        <v>34</v>
      </c>
      <c r="F65" t="s">
        <v>23</v>
      </c>
      <c r="G65" s="13">
        <v>45680</v>
      </c>
      <c r="H65">
        <v>139</v>
      </c>
      <c r="I65">
        <v>0</v>
      </c>
      <c r="J65" t="s">
        <v>36</v>
      </c>
      <c r="K65" t="s">
        <v>25</v>
      </c>
      <c r="L65" t="s">
        <v>37</v>
      </c>
      <c r="M65">
        <v>37</v>
      </c>
      <c r="N65" t="s">
        <v>27</v>
      </c>
      <c r="O65" t="s">
        <v>154</v>
      </c>
      <c r="P65" t="s">
        <v>29</v>
      </c>
      <c r="Q65" t="s">
        <v>27</v>
      </c>
      <c r="R65">
        <v>0</v>
      </c>
    </row>
    <row r="66" spans="1:18">
      <c r="A66" t="s">
        <v>240</v>
      </c>
      <c r="B66" t="s">
        <v>241</v>
      </c>
      <c r="C66" t="s">
        <v>242</v>
      </c>
      <c r="D66" t="s">
        <v>49</v>
      </c>
      <c r="E66" t="s">
        <v>42</v>
      </c>
      <c r="F66" t="s">
        <v>35</v>
      </c>
      <c r="G66" s="13">
        <v>45683</v>
      </c>
      <c r="H66">
        <v>99</v>
      </c>
      <c r="I66">
        <v>0</v>
      </c>
      <c r="J66" t="s">
        <v>36</v>
      </c>
      <c r="K66" t="s">
        <v>25</v>
      </c>
      <c r="L66" t="s">
        <v>37</v>
      </c>
      <c r="M66">
        <v>2</v>
      </c>
      <c r="N66" t="s">
        <v>27</v>
      </c>
      <c r="O66" t="s">
        <v>154</v>
      </c>
      <c r="P66" t="s">
        <v>29</v>
      </c>
      <c r="Q66" t="s">
        <v>27</v>
      </c>
      <c r="R66">
        <v>0</v>
      </c>
    </row>
    <row r="67" spans="1:18">
      <c r="A67" t="s">
        <v>243</v>
      </c>
      <c r="B67" t="s">
        <v>244</v>
      </c>
      <c r="C67" t="s">
        <v>245</v>
      </c>
      <c r="D67" t="s">
        <v>49</v>
      </c>
      <c r="E67" t="s">
        <v>22</v>
      </c>
      <c r="F67" t="s">
        <v>35</v>
      </c>
      <c r="G67" s="13">
        <v>45684</v>
      </c>
      <c r="H67">
        <v>156</v>
      </c>
      <c r="I67">
        <v>0</v>
      </c>
      <c r="J67" t="s">
        <v>36</v>
      </c>
      <c r="K67" t="s">
        <v>25</v>
      </c>
      <c r="L67" t="s">
        <v>37</v>
      </c>
      <c r="M67">
        <v>6</v>
      </c>
      <c r="N67" t="s">
        <v>30</v>
      </c>
      <c r="O67" t="s">
        <v>154</v>
      </c>
      <c r="P67" t="s">
        <v>29</v>
      </c>
      <c r="Q67" t="s">
        <v>27</v>
      </c>
      <c r="R67">
        <v>1</v>
      </c>
    </row>
    <row r="68" spans="1:18">
      <c r="A68" t="s">
        <v>246</v>
      </c>
      <c r="B68" t="s">
        <v>247</v>
      </c>
      <c r="C68" t="s">
        <v>248</v>
      </c>
      <c r="D68" t="s">
        <v>49</v>
      </c>
      <c r="E68" t="s">
        <v>34</v>
      </c>
      <c r="F68" t="s">
        <v>58</v>
      </c>
      <c r="G68" s="13">
        <v>45666</v>
      </c>
      <c r="H68">
        <v>169</v>
      </c>
      <c r="I68">
        <v>0</v>
      </c>
      <c r="J68" t="s">
        <v>36</v>
      </c>
      <c r="K68" t="s">
        <v>25</v>
      </c>
      <c r="L68" t="s">
        <v>37</v>
      </c>
      <c r="M68">
        <v>30</v>
      </c>
      <c r="N68" t="s">
        <v>30</v>
      </c>
      <c r="O68" t="s">
        <v>154</v>
      </c>
      <c r="P68" t="s">
        <v>29</v>
      </c>
      <c r="Q68" t="s">
        <v>27</v>
      </c>
      <c r="R68">
        <v>1</v>
      </c>
    </row>
    <row r="69" spans="1:18">
      <c r="A69" t="s">
        <v>249</v>
      </c>
      <c r="B69" t="s">
        <v>250</v>
      </c>
      <c r="C69" t="s">
        <v>251</v>
      </c>
      <c r="D69" t="s">
        <v>57</v>
      </c>
      <c r="E69" t="s">
        <v>22</v>
      </c>
      <c r="F69" t="s">
        <v>58</v>
      </c>
      <c r="G69" s="13">
        <v>45669</v>
      </c>
      <c r="H69">
        <v>79</v>
      </c>
      <c r="I69">
        <v>0</v>
      </c>
      <c r="J69" t="s">
        <v>36</v>
      </c>
      <c r="K69" t="s">
        <v>25</v>
      </c>
      <c r="L69" t="s">
        <v>37</v>
      </c>
      <c r="M69">
        <v>30</v>
      </c>
      <c r="N69" t="s">
        <v>27</v>
      </c>
      <c r="O69" t="s">
        <v>154</v>
      </c>
      <c r="P69" t="s">
        <v>29</v>
      </c>
      <c r="Q69" t="s">
        <v>27</v>
      </c>
      <c r="R69">
        <v>0</v>
      </c>
    </row>
    <row r="70" spans="1:18">
      <c r="A70" t="s">
        <v>252</v>
      </c>
      <c r="B70" t="s">
        <v>253</v>
      </c>
      <c r="C70" t="s">
        <v>254</v>
      </c>
      <c r="D70" t="s">
        <v>21</v>
      </c>
      <c r="E70" t="s">
        <v>42</v>
      </c>
      <c r="F70" t="s">
        <v>80</v>
      </c>
      <c r="G70" s="13">
        <v>45676</v>
      </c>
      <c r="H70">
        <v>146</v>
      </c>
      <c r="I70">
        <v>22.51</v>
      </c>
      <c r="J70" t="s">
        <v>44</v>
      </c>
      <c r="K70" t="s">
        <v>66</v>
      </c>
      <c r="L70" t="s">
        <v>26</v>
      </c>
      <c r="M70">
        <v>25</v>
      </c>
      <c r="N70" t="s">
        <v>27</v>
      </c>
      <c r="O70" t="s">
        <v>154</v>
      </c>
      <c r="P70" t="s">
        <v>29</v>
      </c>
      <c r="Q70" t="s">
        <v>30</v>
      </c>
      <c r="R70">
        <v>0</v>
      </c>
    </row>
    <row r="71" spans="1:18">
      <c r="A71" t="s">
        <v>255</v>
      </c>
      <c r="B71" t="s">
        <v>256</v>
      </c>
      <c r="C71" t="s">
        <v>257</v>
      </c>
      <c r="D71" t="s">
        <v>49</v>
      </c>
      <c r="E71" t="s">
        <v>42</v>
      </c>
      <c r="F71" t="s">
        <v>43</v>
      </c>
      <c r="G71" s="13">
        <v>45677</v>
      </c>
      <c r="H71">
        <v>144</v>
      </c>
      <c r="I71">
        <v>0</v>
      </c>
      <c r="J71" t="s">
        <v>36</v>
      </c>
      <c r="K71" t="s">
        <v>25</v>
      </c>
      <c r="L71" t="s">
        <v>37</v>
      </c>
      <c r="M71">
        <v>3</v>
      </c>
      <c r="N71" t="s">
        <v>27</v>
      </c>
      <c r="O71" t="s">
        <v>154</v>
      </c>
      <c r="P71" t="s">
        <v>29</v>
      </c>
      <c r="Q71" t="s">
        <v>27</v>
      </c>
      <c r="R71">
        <v>0</v>
      </c>
    </row>
    <row r="72" spans="1:18">
      <c r="A72" t="s">
        <v>258</v>
      </c>
      <c r="B72" t="s">
        <v>259</v>
      </c>
      <c r="C72" t="s">
        <v>260</v>
      </c>
      <c r="D72" t="s">
        <v>41</v>
      </c>
      <c r="E72" t="s">
        <v>42</v>
      </c>
      <c r="F72" t="s">
        <v>35</v>
      </c>
      <c r="G72" s="13">
        <v>45673</v>
      </c>
      <c r="H72">
        <v>166</v>
      </c>
      <c r="I72">
        <v>0</v>
      </c>
      <c r="J72" t="s">
        <v>36</v>
      </c>
      <c r="K72" t="s">
        <v>53</v>
      </c>
      <c r="L72" t="s">
        <v>37</v>
      </c>
      <c r="M72">
        <v>5</v>
      </c>
      <c r="N72" t="s">
        <v>30</v>
      </c>
      <c r="O72" t="s">
        <v>154</v>
      </c>
      <c r="P72" t="s">
        <v>29</v>
      </c>
      <c r="Q72" t="s">
        <v>27</v>
      </c>
      <c r="R72">
        <v>1</v>
      </c>
    </row>
    <row r="73" spans="1:18">
      <c r="A73" t="s">
        <v>261</v>
      </c>
      <c r="B73" t="s">
        <v>262</v>
      </c>
      <c r="C73" t="s">
        <v>263</v>
      </c>
      <c r="D73" t="s">
        <v>49</v>
      </c>
      <c r="E73" t="s">
        <v>22</v>
      </c>
      <c r="F73" t="s">
        <v>58</v>
      </c>
      <c r="G73" s="13">
        <v>45662</v>
      </c>
      <c r="H73">
        <v>100</v>
      </c>
      <c r="I73">
        <v>0</v>
      </c>
      <c r="J73" t="s">
        <v>36</v>
      </c>
      <c r="K73" t="s">
        <v>25</v>
      </c>
      <c r="L73" t="s">
        <v>37</v>
      </c>
      <c r="M73">
        <v>7</v>
      </c>
      <c r="N73" t="s">
        <v>27</v>
      </c>
      <c r="O73" t="s">
        <v>154</v>
      </c>
      <c r="P73" t="s">
        <v>29</v>
      </c>
      <c r="Q73" t="s">
        <v>27</v>
      </c>
      <c r="R73">
        <v>0</v>
      </c>
    </row>
    <row r="74" spans="1:18">
      <c r="A74" t="s">
        <v>264</v>
      </c>
      <c r="B74" t="s">
        <v>265</v>
      </c>
      <c r="C74" t="s">
        <v>266</v>
      </c>
      <c r="D74" t="s">
        <v>57</v>
      </c>
      <c r="E74" t="s">
        <v>22</v>
      </c>
      <c r="F74" t="s">
        <v>73</v>
      </c>
      <c r="G74" s="13">
        <v>45682</v>
      </c>
      <c r="H74">
        <v>130</v>
      </c>
      <c r="I74">
        <v>0</v>
      </c>
      <c r="J74" t="s">
        <v>36</v>
      </c>
      <c r="K74" t="s">
        <v>25</v>
      </c>
      <c r="L74" t="s">
        <v>26</v>
      </c>
      <c r="M74">
        <v>8</v>
      </c>
      <c r="N74" t="s">
        <v>27</v>
      </c>
      <c r="O74" t="s">
        <v>154</v>
      </c>
      <c r="P74" t="s">
        <v>29</v>
      </c>
      <c r="Q74" t="s">
        <v>27</v>
      </c>
      <c r="R74">
        <v>0</v>
      </c>
    </row>
    <row r="75" spans="1:18">
      <c r="A75" t="s">
        <v>267</v>
      </c>
      <c r="B75" t="s">
        <v>268</v>
      </c>
      <c r="C75" t="s">
        <v>269</v>
      </c>
      <c r="D75" t="s">
        <v>21</v>
      </c>
      <c r="E75" t="s">
        <v>42</v>
      </c>
      <c r="F75" t="s">
        <v>43</v>
      </c>
      <c r="G75" s="13">
        <v>45663</v>
      </c>
      <c r="H75">
        <v>157</v>
      </c>
      <c r="I75">
        <v>0</v>
      </c>
      <c r="J75" t="s">
        <v>36</v>
      </c>
      <c r="K75" t="s">
        <v>25</v>
      </c>
      <c r="L75" t="s">
        <v>37</v>
      </c>
      <c r="M75">
        <v>22</v>
      </c>
      <c r="N75" t="s">
        <v>30</v>
      </c>
      <c r="O75" t="s">
        <v>154</v>
      </c>
      <c r="P75" t="s">
        <v>29</v>
      </c>
      <c r="Q75" t="s">
        <v>27</v>
      </c>
      <c r="R75">
        <v>1</v>
      </c>
    </row>
    <row r="76" spans="1:18">
      <c r="A76" t="s">
        <v>270</v>
      </c>
      <c r="B76" t="s">
        <v>271</v>
      </c>
      <c r="C76" t="s">
        <v>272</v>
      </c>
      <c r="D76" t="s">
        <v>62</v>
      </c>
      <c r="E76" t="s">
        <v>22</v>
      </c>
      <c r="F76" t="s">
        <v>35</v>
      </c>
      <c r="G76" s="13">
        <v>45684</v>
      </c>
      <c r="H76">
        <v>79</v>
      </c>
      <c r="I76">
        <v>0</v>
      </c>
      <c r="J76" t="s">
        <v>36</v>
      </c>
      <c r="K76" t="s">
        <v>25</v>
      </c>
      <c r="L76" t="s">
        <v>37</v>
      </c>
      <c r="M76">
        <v>48</v>
      </c>
      <c r="N76" t="s">
        <v>27</v>
      </c>
      <c r="O76" t="s">
        <v>154</v>
      </c>
      <c r="P76" t="s">
        <v>29</v>
      </c>
      <c r="Q76" t="s">
        <v>27</v>
      </c>
      <c r="R76">
        <v>0</v>
      </c>
    </row>
    <row r="77" spans="1:18">
      <c r="A77" t="s">
        <v>273</v>
      </c>
      <c r="B77" t="s">
        <v>274</v>
      </c>
      <c r="C77" t="s">
        <v>275</v>
      </c>
      <c r="D77" t="s">
        <v>41</v>
      </c>
      <c r="E77" t="s">
        <v>34</v>
      </c>
      <c r="F77" t="s">
        <v>23</v>
      </c>
      <c r="G77" s="13">
        <v>45688</v>
      </c>
      <c r="H77">
        <v>147</v>
      </c>
      <c r="I77">
        <v>0</v>
      </c>
      <c r="J77" t="s">
        <v>36</v>
      </c>
      <c r="K77" t="s">
        <v>25</v>
      </c>
      <c r="L77" t="s">
        <v>37</v>
      </c>
      <c r="M77">
        <v>48</v>
      </c>
      <c r="N77" t="s">
        <v>27</v>
      </c>
      <c r="O77" t="s">
        <v>154</v>
      </c>
      <c r="P77" t="s">
        <v>29</v>
      </c>
      <c r="Q77" t="s">
        <v>27</v>
      </c>
      <c r="R77">
        <v>0</v>
      </c>
    </row>
    <row r="78" spans="1:18">
      <c r="A78" t="s">
        <v>276</v>
      </c>
      <c r="B78" t="s">
        <v>277</v>
      </c>
      <c r="C78" t="s">
        <v>278</v>
      </c>
      <c r="D78" t="s">
        <v>62</v>
      </c>
      <c r="E78" t="s">
        <v>34</v>
      </c>
      <c r="F78" t="s">
        <v>35</v>
      </c>
      <c r="G78" s="13">
        <v>45683</v>
      </c>
      <c r="H78">
        <v>80</v>
      </c>
      <c r="I78">
        <v>0</v>
      </c>
      <c r="J78" t="s">
        <v>36</v>
      </c>
      <c r="K78" t="s">
        <v>66</v>
      </c>
      <c r="L78" t="s">
        <v>37</v>
      </c>
      <c r="M78">
        <v>39</v>
      </c>
      <c r="N78" t="s">
        <v>27</v>
      </c>
      <c r="O78" t="s">
        <v>154</v>
      </c>
      <c r="P78" t="s">
        <v>29</v>
      </c>
      <c r="Q78" t="s">
        <v>27</v>
      </c>
      <c r="R78">
        <v>0</v>
      </c>
    </row>
    <row r="79" spans="1:18">
      <c r="A79" t="s">
        <v>279</v>
      </c>
      <c r="B79" t="s">
        <v>280</v>
      </c>
      <c r="C79" t="s">
        <v>281</v>
      </c>
      <c r="D79" t="s">
        <v>41</v>
      </c>
      <c r="E79" t="s">
        <v>22</v>
      </c>
      <c r="F79" t="s">
        <v>23</v>
      </c>
      <c r="G79" s="13">
        <v>45683</v>
      </c>
      <c r="H79">
        <v>113</v>
      </c>
      <c r="I79">
        <v>0</v>
      </c>
      <c r="J79" t="s">
        <v>36</v>
      </c>
      <c r="K79" t="s">
        <v>25</v>
      </c>
      <c r="L79" t="s">
        <v>37</v>
      </c>
      <c r="M79">
        <v>46</v>
      </c>
      <c r="N79" t="s">
        <v>27</v>
      </c>
      <c r="O79" t="s">
        <v>154</v>
      </c>
      <c r="P79" t="s">
        <v>29</v>
      </c>
      <c r="Q79" t="s">
        <v>27</v>
      </c>
      <c r="R79">
        <v>0</v>
      </c>
    </row>
    <row r="80" spans="1:18">
      <c r="A80" t="s">
        <v>282</v>
      </c>
      <c r="B80" t="s">
        <v>283</v>
      </c>
      <c r="C80" t="s">
        <v>284</v>
      </c>
      <c r="D80" t="s">
        <v>62</v>
      </c>
      <c r="E80" t="s">
        <v>22</v>
      </c>
      <c r="F80" t="s">
        <v>35</v>
      </c>
      <c r="G80" s="13">
        <v>45663</v>
      </c>
      <c r="H80">
        <v>117</v>
      </c>
      <c r="I80">
        <v>23.32</v>
      </c>
      <c r="J80" t="s">
        <v>24</v>
      </c>
      <c r="K80" t="s">
        <v>25</v>
      </c>
      <c r="L80" t="s">
        <v>26</v>
      </c>
      <c r="M80">
        <v>11</v>
      </c>
      <c r="N80" t="s">
        <v>27</v>
      </c>
      <c r="O80" t="s">
        <v>154</v>
      </c>
      <c r="P80" t="s">
        <v>29</v>
      </c>
      <c r="Q80" t="s">
        <v>30</v>
      </c>
      <c r="R80">
        <v>0</v>
      </c>
    </row>
    <row r="81" spans="1:18">
      <c r="A81" t="s">
        <v>285</v>
      </c>
      <c r="B81" t="s">
        <v>286</v>
      </c>
      <c r="C81" t="s">
        <v>287</v>
      </c>
      <c r="D81" t="s">
        <v>57</v>
      </c>
      <c r="E81" t="s">
        <v>42</v>
      </c>
      <c r="F81" t="s">
        <v>73</v>
      </c>
      <c r="G81" s="13">
        <v>45688</v>
      </c>
      <c r="H81">
        <v>71</v>
      </c>
      <c r="I81">
        <v>0</v>
      </c>
      <c r="J81" t="s">
        <v>36</v>
      </c>
      <c r="K81" t="s">
        <v>25</v>
      </c>
      <c r="L81" t="s">
        <v>37</v>
      </c>
      <c r="M81">
        <v>37</v>
      </c>
      <c r="N81" t="s">
        <v>27</v>
      </c>
      <c r="O81" t="s">
        <v>154</v>
      </c>
      <c r="P81" t="s">
        <v>29</v>
      </c>
      <c r="Q81" t="s">
        <v>27</v>
      </c>
      <c r="R81">
        <v>0</v>
      </c>
    </row>
    <row r="82" spans="1:18">
      <c r="A82" t="s">
        <v>288</v>
      </c>
      <c r="B82" t="s">
        <v>289</v>
      </c>
      <c r="C82" t="s">
        <v>290</v>
      </c>
      <c r="D82" t="s">
        <v>49</v>
      </c>
      <c r="E82" t="s">
        <v>22</v>
      </c>
      <c r="F82" t="s">
        <v>80</v>
      </c>
      <c r="G82" s="13">
        <v>45680</v>
      </c>
      <c r="H82">
        <v>132</v>
      </c>
      <c r="I82">
        <v>0</v>
      </c>
      <c r="J82" t="s">
        <v>36</v>
      </c>
      <c r="K82" t="s">
        <v>25</v>
      </c>
      <c r="L82" t="s">
        <v>26</v>
      </c>
      <c r="M82">
        <v>50</v>
      </c>
      <c r="N82" t="s">
        <v>27</v>
      </c>
      <c r="O82" t="s">
        <v>154</v>
      </c>
      <c r="P82" t="s">
        <v>29</v>
      </c>
      <c r="Q82" t="s">
        <v>27</v>
      </c>
      <c r="R82">
        <v>0</v>
      </c>
    </row>
    <row r="83" spans="1:18">
      <c r="A83" t="s">
        <v>291</v>
      </c>
      <c r="B83" t="s">
        <v>292</v>
      </c>
      <c r="C83" t="s">
        <v>293</v>
      </c>
      <c r="D83" t="s">
        <v>62</v>
      </c>
      <c r="E83" t="s">
        <v>22</v>
      </c>
      <c r="F83" t="s">
        <v>80</v>
      </c>
      <c r="G83" s="13">
        <v>45684</v>
      </c>
      <c r="H83">
        <v>112</v>
      </c>
      <c r="I83">
        <v>2.2599999999999998</v>
      </c>
      <c r="J83" t="s">
        <v>173</v>
      </c>
      <c r="K83" t="s">
        <v>25</v>
      </c>
      <c r="L83" t="s">
        <v>26</v>
      </c>
      <c r="M83">
        <v>22</v>
      </c>
      <c r="N83" t="s">
        <v>27</v>
      </c>
      <c r="O83" t="s">
        <v>154</v>
      </c>
      <c r="P83" t="s">
        <v>29</v>
      </c>
      <c r="Q83" t="s">
        <v>30</v>
      </c>
      <c r="R83">
        <v>0</v>
      </c>
    </row>
    <row r="84" spans="1:18">
      <c r="A84" t="s">
        <v>294</v>
      </c>
      <c r="B84" t="s">
        <v>295</v>
      </c>
      <c r="C84" t="s">
        <v>296</v>
      </c>
      <c r="D84" t="s">
        <v>21</v>
      </c>
      <c r="E84" t="s">
        <v>42</v>
      </c>
      <c r="F84" t="s">
        <v>43</v>
      </c>
      <c r="G84" s="13">
        <v>45660</v>
      </c>
      <c r="H84">
        <v>115</v>
      </c>
      <c r="I84">
        <v>0</v>
      </c>
      <c r="J84" t="s">
        <v>36</v>
      </c>
      <c r="K84" t="s">
        <v>25</v>
      </c>
      <c r="L84" t="s">
        <v>37</v>
      </c>
      <c r="M84">
        <v>18</v>
      </c>
      <c r="N84" t="s">
        <v>27</v>
      </c>
      <c r="O84" t="s">
        <v>154</v>
      </c>
      <c r="P84" t="s">
        <v>29</v>
      </c>
      <c r="Q84" t="s">
        <v>27</v>
      </c>
      <c r="R84">
        <v>0</v>
      </c>
    </row>
    <row r="85" spans="1:18">
      <c r="A85" t="s">
        <v>297</v>
      </c>
      <c r="B85" t="s">
        <v>298</v>
      </c>
      <c r="C85" t="s">
        <v>299</v>
      </c>
      <c r="D85" t="s">
        <v>62</v>
      </c>
      <c r="E85" t="s">
        <v>22</v>
      </c>
      <c r="F85" t="s">
        <v>23</v>
      </c>
      <c r="G85" s="13">
        <v>45675</v>
      </c>
      <c r="H85">
        <v>142</v>
      </c>
      <c r="I85">
        <v>0</v>
      </c>
      <c r="J85" t="s">
        <v>36</v>
      </c>
      <c r="K85" t="s">
        <v>25</v>
      </c>
      <c r="L85" t="s">
        <v>37</v>
      </c>
      <c r="M85">
        <v>11</v>
      </c>
      <c r="N85" t="s">
        <v>27</v>
      </c>
      <c r="O85" t="s">
        <v>154</v>
      </c>
      <c r="P85" t="s">
        <v>29</v>
      </c>
      <c r="Q85" t="s">
        <v>27</v>
      </c>
      <c r="R85">
        <v>0</v>
      </c>
    </row>
    <row r="86" spans="1:18">
      <c r="A86" t="s">
        <v>300</v>
      </c>
      <c r="B86" t="s">
        <v>301</v>
      </c>
      <c r="C86" t="s">
        <v>302</v>
      </c>
      <c r="D86" t="s">
        <v>57</v>
      </c>
      <c r="E86" t="s">
        <v>42</v>
      </c>
      <c r="F86" t="s">
        <v>23</v>
      </c>
      <c r="G86" s="13">
        <v>45675</v>
      </c>
      <c r="H86">
        <v>154</v>
      </c>
      <c r="I86">
        <v>0</v>
      </c>
      <c r="J86" t="s">
        <v>36</v>
      </c>
      <c r="K86" t="s">
        <v>25</v>
      </c>
      <c r="L86" t="s">
        <v>37</v>
      </c>
      <c r="M86">
        <v>8</v>
      </c>
      <c r="N86" t="s">
        <v>30</v>
      </c>
      <c r="O86" t="s">
        <v>154</v>
      </c>
      <c r="P86" t="s">
        <v>29</v>
      </c>
      <c r="Q86" t="s">
        <v>27</v>
      </c>
      <c r="R86">
        <v>1</v>
      </c>
    </row>
    <row r="87" spans="1:18">
      <c r="A87" t="s">
        <v>303</v>
      </c>
      <c r="B87" t="s">
        <v>304</v>
      </c>
      <c r="C87" t="s">
        <v>305</v>
      </c>
      <c r="D87" t="s">
        <v>41</v>
      </c>
      <c r="E87" t="s">
        <v>42</v>
      </c>
      <c r="F87" t="s">
        <v>80</v>
      </c>
      <c r="G87" s="13">
        <v>45669</v>
      </c>
      <c r="H87">
        <v>91</v>
      </c>
      <c r="I87">
        <v>0</v>
      </c>
      <c r="J87" t="s">
        <v>36</v>
      </c>
      <c r="K87" t="s">
        <v>25</v>
      </c>
      <c r="L87" t="s">
        <v>37</v>
      </c>
      <c r="M87">
        <v>31</v>
      </c>
      <c r="N87" t="s">
        <v>27</v>
      </c>
      <c r="O87" t="s">
        <v>154</v>
      </c>
      <c r="P87" t="s">
        <v>29</v>
      </c>
      <c r="Q87" t="s">
        <v>27</v>
      </c>
      <c r="R87">
        <v>0</v>
      </c>
    </row>
    <row r="88" spans="1:18">
      <c r="A88" t="s">
        <v>306</v>
      </c>
      <c r="B88" t="s">
        <v>307</v>
      </c>
      <c r="C88" t="s">
        <v>308</v>
      </c>
      <c r="D88" t="s">
        <v>62</v>
      </c>
      <c r="E88" t="s">
        <v>42</v>
      </c>
      <c r="F88" t="s">
        <v>73</v>
      </c>
      <c r="G88" s="13">
        <v>45671</v>
      </c>
      <c r="H88">
        <v>102</v>
      </c>
      <c r="I88">
        <v>0</v>
      </c>
      <c r="J88" t="s">
        <v>36</v>
      </c>
      <c r="K88" t="s">
        <v>25</v>
      </c>
      <c r="L88" t="s">
        <v>37</v>
      </c>
      <c r="M88">
        <v>2</v>
      </c>
      <c r="N88" t="s">
        <v>27</v>
      </c>
      <c r="O88" t="s">
        <v>154</v>
      </c>
      <c r="P88" t="s">
        <v>29</v>
      </c>
      <c r="Q88" t="s">
        <v>27</v>
      </c>
      <c r="R88">
        <v>0</v>
      </c>
    </row>
    <row r="89" spans="1:18">
      <c r="A89" t="s">
        <v>309</v>
      </c>
      <c r="B89" t="s">
        <v>310</v>
      </c>
      <c r="C89" t="s">
        <v>311</v>
      </c>
      <c r="D89" t="s">
        <v>21</v>
      </c>
      <c r="E89" t="s">
        <v>22</v>
      </c>
      <c r="F89" t="s">
        <v>80</v>
      </c>
      <c r="G89" s="13">
        <v>45684</v>
      </c>
      <c r="H89">
        <v>142</v>
      </c>
      <c r="I89">
        <v>8.64</v>
      </c>
      <c r="J89" t="s">
        <v>24</v>
      </c>
      <c r="K89" t="s">
        <v>45</v>
      </c>
      <c r="L89" t="s">
        <v>26</v>
      </c>
      <c r="M89">
        <v>25</v>
      </c>
      <c r="N89" t="s">
        <v>27</v>
      </c>
      <c r="O89" t="s">
        <v>154</v>
      </c>
      <c r="P89" t="s">
        <v>29</v>
      </c>
      <c r="Q89" t="s">
        <v>30</v>
      </c>
      <c r="R89">
        <v>0</v>
      </c>
    </row>
    <row r="90" spans="1:18">
      <c r="A90" t="s">
        <v>312</v>
      </c>
      <c r="B90" t="s">
        <v>313</v>
      </c>
      <c r="C90" t="s">
        <v>314</v>
      </c>
      <c r="D90" t="s">
        <v>62</v>
      </c>
      <c r="E90" t="s">
        <v>22</v>
      </c>
      <c r="F90" t="s">
        <v>80</v>
      </c>
      <c r="G90" s="13">
        <v>45680</v>
      </c>
      <c r="H90">
        <v>131</v>
      </c>
      <c r="I90">
        <v>0</v>
      </c>
      <c r="J90" t="s">
        <v>36</v>
      </c>
      <c r="K90" t="s">
        <v>45</v>
      </c>
      <c r="L90" t="s">
        <v>37</v>
      </c>
      <c r="M90">
        <v>3</v>
      </c>
      <c r="N90" t="s">
        <v>27</v>
      </c>
      <c r="O90" t="s">
        <v>154</v>
      </c>
      <c r="P90" t="s">
        <v>29</v>
      </c>
      <c r="Q90" t="s">
        <v>27</v>
      </c>
      <c r="R90">
        <v>0</v>
      </c>
    </row>
    <row r="91" spans="1:18">
      <c r="A91" t="s">
        <v>315</v>
      </c>
      <c r="B91" t="s">
        <v>316</v>
      </c>
      <c r="C91" t="s">
        <v>317</v>
      </c>
      <c r="D91" t="s">
        <v>49</v>
      </c>
      <c r="E91" t="s">
        <v>34</v>
      </c>
      <c r="F91" t="s">
        <v>58</v>
      </c>
      <c r="G91" s="13">
        <v>45670</v>
      </c>
      <c r="H91">
        <v>130</v>
      </c>
      <c r="I91">
        <v>0</v>
      </c>
      <c r="J91" t="s">
        <v>36</v>
      </c>
      <c r="K91" t="s">
        <v>25</v>
      </c>
      <c r="L91" t="s">
        <v>37</v>
      </c>
      <c r="M91">
        <v>49</v>
      </c>
      <c r="N91" t="s">
        <v>27</v>
      </c>
      <c r="O91" t="s">
        <v>154</v>
      </c>
      <c r="P91" t="s">
        <v>29</v>
      </c>
      <c r="Q91" t="s">
        <v>27</v>
      </c>
      <c r="R91">
        <v>0</v>
      </c>
    </row>
    <row r="92" spans="1:18">
      <c r="A92" t="s">
        <v>318</v>
      </c>
      <c r="B92" t="s">
        <v>319</v>
      </c>
      <c r="C92" t="s">
        <v>320</v>
      </c>
      <c r="D92" t="s">
        <v>21</v>
      </c>
      <c r="E92" t="s">
        <v>42</v>
      </c>
      <c r="F92" t="s">
        <v>43</v>
      </c>
      <c r="G92" s="13">
        <v>45671</v>
      </c>
      <c r="H92">
        <v>179</v>
      </c>
      <c r="I92">
        <v>0</v>
      </c>
      <c r="J92" t="s">
        <v>36</v>
      </c>
      <c r="K92" t="s">
        <v>25</v>
      </c>
      <c r="L92" t="s">
        <v>26</v>
      </c>
      <c r="M92">
        <v>34</v>
      </c>
      <c r="N92" t="s">
        <v>30</v>
      </c>
      <c r="O92" t="s">
        <v>154</v>
      </c>
      <c r="P92" t="s">
        <v>29</v>
      </c>
      <c r="Q92" t="s">
        <v>27</v>
      </c>
      <c r="R92">
        <v>1</v>
      </c>
    </row>
    <row r="93" spans="1:18">
      <c r="A93" t="s">
        <v>321</v>
      </c>
      <c r="B93" t="s">
        <v>322</v>
      </c>
      <c r="C93" t="s">
        <v>323</v>
      </c>
      <c r="D93" t="s">
        <v>49</v>
      </c>
      <c r="E93" t="s">
        <v>22</v>
      </c>
      <c r="F93" t="s">
        <v>23</v>
      </c>
      <c r="G93" s="13">
        <v>45669</v>
      </c>
      <c r="H93">
        <v>61</v>
      </c>
      <c r="I93">
        <v>0</v>
      </c>
      <c r="J93" t="s">
        <v>36</v>
      </c>
      <c r="K93" t="s">
        <v>25</v>
      </c>
      <c r="L93" t="s">
        <v>37</v>
      </c>
      <c r="M93">
        <v>30</v>
      </c>
      <c r="N93" t="s">
        <v>27</v>
      </c>
      <c r="O93" t="s">
        <v>154</v>
      </c>
      <c r="P93" t="s">
        <v>29</v>
      </c>
      <c r="Q93" t="s">
        <v>27</v>
      </c>
      <c r="R93">
        <v>0</v>
      </c>
    </row>
    <row r="94" spans="1:18">
      <c r="A94" t="s">
        <v>324</v>
      </c>
      <c r="B94" t="s">
        <v>325</v>
      </c>
      <c r="C94" t="s">
        <v>326</v>
      </c>
      <c r="D94" t="s">
        <v>21</v>
      </c>
      <c r="E94" t="s">
        <v>42</v>
      </c>
      <c r="F94" t="s">
        <v>35</v>
      </c>
      <c r="G94" s="13">
        <v>45664</v>
      </c>
      <c r="H94">
        <v>90</v>
      </c>
      <c r="I94">
        <v>0</v>
      </c>
      <c r="J94" t="s">
        <v>36</v>
      </c>
      <c r="K94" t="s">
        <v>66</v>
      </c>
      <c r="L94" t="s">
        <v>37</v>
      </c>
      <c r="M94">
        <v>3</v>
      </c>
      <c r="N94" t="s">
        <v>27</v>
      </c>
      <c r="O94" t="s">
        <v>154</v>
      </c>
      <c r="P94" t="s">
        <v>29</v>
      </c>
      <c r="Q94" t="s">
        <v>27</v>
      </c>
      <c r="R94">
        <v>0</v>
      </c>
    </row>
    <row r="95" spans="1:18">
      <c r="A95" t="s">
        <v>327</v>
      </c>
      <c r="B95" t="s">
        <v>328</v>
      </c>
      <c r="C95" t="s">
        <v>329</v>
      </c>
      <c r="D95" t="s">
        <v>49</v>
      </c>
      <c r="E95" t="s">
        <v>34</v>
      </c>
      <c r="F95" t="s">
        <v>35</v>
      </c>
      <c r="G95" s="13">
        <v>45665</v>
      </c>
      <c r="H95">
        <v>159</v>
      </c>
      <c r="I95">
        <v>0</v>
      </c>
      <c r="J95" t="s">
        <v>36</v>
      </c>
      <c r="K95" t="s">
        <v>25</v>
      </c>
      <c r="L95" t="s">
        <v>37</v>
      </c>
      <c r="M95">
        <v>20</v>
      </c>
      <c r="N95" t="s">
        <v>30</v>
      </c>
      <c r="O95" t="s">
        <v>154</v>
      </c>
      <c r="P95" t="s">
        <v>29</v>
      </c>
      <c r="Q95" t="s">
        <v>27</v>
      </c>
      <c r="R95">
        <v>1</v>
      </c>
    </row>
    <row r="96" spans="1:18">
      <c r="A96" t="s">
        <v>330</v>
      </c>
      <c r="B96" t="s">
        <v>331</v>
      </c>
      <c r="C96" t="s">
        <v>332</v>
      </c>
      <c r="D96" t="s">
        <v>57</v>
      </c>
      <c r="E96" t="s">
        <v>22</v>
      </c>
      <c r="F96" t="s">
        <v>43</v>
      </c>
      <c r="G96" s="13">
        <v>45682</v>
      </c>
      <c r="H96">
        <v>81</v>
      </c>
      <c r="I96">
        <v>0</v>
      </c>
      <c r="J96" t="s">
        <v>36</v>
      </c>
      <c r="K96" t="s">
        <v>53</v>
      </c>
      <c r="L96" t="s">
        <v>37</v>
      </c>
      <c r="M96">
        <v>21</v>
      </c>
      <c r="N96" t="s">
        <v>27</v>
      </c>
      <c r="O96" t="s">
        <v>154</v>
      </c>
      <c r="P96" t="s">
        <v>29</v>
      </c>
      <c r="Q96" t="s">
        <v>27</v>
      </c>
      <c r="R96">
        <v>0</v>
      </c>
    </row>
    <row r="97" spans="1:18">
      <c r="A97" t="s">
        <v>333</v>
      </c>
      <c r="B97" t="s">
        <v>334</v>
      </c>
      <c r="C97" t="s">
        <v>335</v>
      </c>
      <c r="D97" t="s">
        <v>57</v>
      </c>
      <c r="E97" t="s">
        <v>34</v>
      </c>
      <c r="F97" t="s">
        <v>73</v>
      </c>
      <c r="G97" s="13">
        <v>45664</v>
      </c>
      <c r="H97">
        <v>85</v>
      </c>
      <c r="I97">
        <v>0</v>
      </c>
      <c r="J97" t="s">
        <v>36</v>
      </c>
      <c r="K97" t="s">
        <v>25</v>
      </c>
      <c r="L97" t="s">
        <v>37</v>
      </c>
      <c r="M97">
        <v>28</v>
      </c>
      <c r="N97" t="s">
        <v>27</v>
      </c>
      <c r="O97" t="s">
        <v>154</v>
      </c>
      <c r="P97" t="s">
        <v>29</v>
      </c>
      <c r="Q97" t="s">
        <v>27</v>
      </c>
      <c r="R97">
        <v>0</v>
      </c>
    </row>
    <row r="98" spans="1:18">
      <c r="A98" t="s">
        <v>336</v>
      </c>
      <c r="B98" t="s">
        <v>337</v>
      </c>
      <c r="C98" t="s">
        <v>338</v>
      </c>
      <c r="D98" t="s">
        <v>62</v>
      </c>
      <c r="E98" t="s">
        <v>34</v>
      </c>
      <c r="F98" t="s">
        <v>80</v>
      </c>
      <c r="G98" s="13">
        <v>45666</v>
      </c>
      <c r="H98">
        <v>73</v>
      </c>
      <c r="I98">
        <v>0</v>
      </c>
      <c r="J98" t="s">
        <v>36</v>
      </c>
      <c r="K98" t="s">
        <v>53</v>
      </c>
      <c r="L98" t="s">
        <v>37</v>
      </c>
      <c r="M98">
        <v>15</v>
      </c>
      <c r="N98" t="s">
        <v>27</v>
      </c>
      <c r="O98" t="s">
        <v>154</v>
      </c>
      <c r="P98" t="s">
        <v>29</v>
      </c>
      <c r="Q98" t="s">
        <v>27</v>
      </c>
      <c r="R98">
        <v>0</v>
      </c>
    </row>
    <row r="99" spans="1:18">
      <c r="A99" t="s">
        <v>339</v>
      </c>
      <c r="B99" t="s">
        <v>340</v>
      </c>
      <c r="C99" t="s">
        <v>341</v>
      </c>
      <c r="D99" t="s">
        <v>21</v>
      </c>
      <c r="E99" t="s">
        <v>34</v>
      </c>
      <c r="F99" t="s">
        <v>58</v>
      </c>
      <c r="G99" s="13">
        <v>45678</v>
      </c>
      <c r="H99">
        <v>152</v>
      </c>
      <c r="I99">
        <v>0</v>
      </c>
      <c r="J99" t="s">
        <v>36</v>
      </c>
      <c r="K99" t="s">
        <v>25</v>
      </c>
      <c r="L99" t="s">
        <v>37</v>
      </c>
      <c r="M99">
        <v>31</v>
      </c>
      <c r="N99" t="s">
        <v>30</v>
      </c>
      <c r="O99" t="s">
        <v>154</v>
      </c>
      <c r="P99" t="s">
        <v>29</v>
      </c>
      <c r="Q99" t="s">
        <v>27</v>
      </c>
      <c r="R99">
        <v>1</v>
      </c>
    </row>
    <row r="100" spans="1:18">
      <c r="A100" t="s">
        <v>342</v>
      </c>
      <c r="B100" t="s">
        <v>343</v>
      </c>
      <c r="C100" t="s">
        <v>344</v>
      </c>
      <c r="D100" t="s">
        <v>57</v>
      </c>
      <c r="E100" t="s">
        <v>34</v>
      </c>
      <c r="F100" t="s">
        <v>23</v>
      </c>
      <c r="G100" s="13">
        <v>45688</v>
      </c>
      <c r="H100">
        <v>156</v>
      </c>
      <c r="I100">
        <v>0</v>
      </c>
      <c r="J100" t="s">
        <v>36</v>
      </c>
      <c r="K100" t="s">
        <v>45</v>
      </c>
      <c r="L100" t="s">
        <v>37</v>
      </c>
      <c r="M100">
        <v>14</v>
      </c>
      <c r="N100" t="s">
        <v>30</v>
      </c>
      <c r="O100" t="s">
        <v>154</v>
      </c>
      <c r="P100" t="s">
        <v>29</v>
      </c>
      <c r="Q100" t="s">
        <v>27</v>
      </c>
      <c r="R100">
        <v>1</v>
      </c>
    </row>
    <row r="101" spans="1:18">
      <c r="A101" t="s">
        <v>345</v>
      </c>
      <c r="B101" t="s">
        <v>346</v>
      </c>
      <c r="C101" t="s">
        <v>347</v>
      </c>
      <c r="D101" t="s">
        <v>57</v>
      </c>
      <c r="E101" t="s">
        <v>34</v>
      </c>
      <c r="F101" t="s">
        <v>80</v>
      </c>
      <c r="G101" s="13">
        <v>45678</v>
      </c>
      <c r="H101">
        <v>128</v>
      </c>
      <c r="I101">
        <v>0</v>
      </c>
      <c r="J101" t="s">
        <v>36</v>
      </c>
      <c r="K101" t="s">
        <v>25</v>
      </c>
      <c r="L101" t="s">
        <v>37</v>
      </c>
      <c r="M101">
        <v>35</v>
      </c>
      <c r="N101" t="s">
        <v>27</v>
      </c>
      <c r="O101" t="s">
        <v>154</v>
      </c>
      <c r="P101" t="s">
        <v>29</v>
      </c>
      <c r="Q101" t="s">
        <v>27</v>
      </c>
      <c r="R101">
        <v>0</v>
      </c>
    </row>
    <row r="102" spans="1:18">
      <c r="A102" t="s">
        <v>348</v>
      </c>
      <c r="B102" t="s">
        <v>349</v>
      </c>
      <c r="C102" t="s">
        <v>350</v>
      </c>
      <c r="D102" t="s">
        <v>57</v>
      </c>
      <c r="E102" t="s">
        <v>42</v>
      </c>
      <c r="F102" t="s">
        <v>35</v>
      </c>
      <c r="G102" s="13">
        <v>45696</v>
      </c>
      <c r="H102">
        <v>179</v>
      </c>
      <c r="I102">
        <v>0</v>
      </c>
      <c r="J102" t="s">
        <v>36</v>
      </c>
      <c r="K102" t="s">
        <v>25</v>
      </c>
      <c r="L102" t="s">
        <v>37</v>
      </c>
      <c r="M102">
        <v>42</v>
      </c>
      <c r="N102" t="s">
        <v>30</v>
      </c>
      <c r="O102" t="s">
        <v>351</v>
      </c>
      <c r="P102" t="s">
        <v>29</v>
      </c>
      <c r="Q102" t="s">
        <v>27</v>
      </c>
      <c r="R102">
        <v>1</v>
      </c>
    </row>
    <row r="103" spans="1:18">
      <c r="A103" t="s">
        <v>352</v>
      </c>
      <c r="B103" t="s">
        <v>353</v>
      </c>
      <c r="C103" t="s">
        <v>354</v>
      </c>
      <c r="D103" t="s">
        <v>49</v>
      </c>
      <c r="E103" t="s">
        <v>22</v>
      </c>
      <c r="F103" t="s">
        <v>73</v>
      </c>
      <c r="G103" s="13">
        <v>45702</v>
      </c>
      <c r="H103">
        <v>157</v>
      </c>
      <c r="I103">
        <v>26.84</v>
      </c>
      <c r="J103" t="s">
        <v>24</v>
      </c>
      <c r="K103" t="s">
        <v>25</v>
      </c>
      <c r="L103" t="s">
        <v>26</v>
      </c>
      <c r="M103">
        <v>25</v>
      </c>
      <c r="N103" t="s">
        <v>30</v>
      </c>
      <c r="O103" t="s">
        <v>351</v>
      </c>
      <c r="P103" t="s">
        <v>29</v>
      </c>
      <c r="Q103" t="s">
        <v>30</v>
      </c>
      <c r="R103">
        <v>1</v>
      </c>
    </row>
    <row r="104" spans="1:18">
      <c r="A104" t="s">
        <v>355</v>
      </c>
      <c r="B104" t="s">
        <v>356</v>
      </c>
      <c r="C104" t="s">
        <v>357</v>
      </c>
      <c r="D104" t="s">
        <v>21</v>
      </c>
      <c r="E104" t="s">
        <v>22</v>
      </c>
      <c r="F104" t="s">
        <v>23</v>
      </c>
      <c r="G104" s="13">
        <v>45702</v>
      </c>
      <c r="H104">
        <v>94</v>
      </c>
      <c r="I104">
        <v>0</v>
      </c>
      <c r="J104" t="s">
        <v>36</v>
      </c>
      <c r="K104" t="s">
        <v>45</v>
      </c>
      <c r="L104" t="s">
        <v>37</v>
      </c>
      <c r="M104">
        <v>48</v>
      </c>
      <c r="N104" t="s">
        <v>27</v>
      </c>
      <c r="O104" t="s">
        <v>351</v>
      </c>
      <c r="P104" t="s">
        <v>29</v>
      </c>
      <c r="Q104" t="s">
        <v>27</v>
      </c>
      <c r="R104">
        <v>0</v>
      </c>
    </row>
    <row r="105" spans="1:18">
      <c r="A105" t="s">
        <v>358</v>
      </c>
      <c r="B105" t="s">
        <v>359</v>
      </c>
      <c r="C105" t="s">
        <v>360</v>
      </c>
      <c r="D105" t="s">
        <v>62</v>
      </c>
      <c r="E105" t="s">
        <v>22</v>
      </c>
      <c r="F105" t="s">
        <v>43</v>
      </c>
      <c r="G105" s="13">
        <v>45692</v>
      </c>
      <c r="H105">
        <v>105</v>
      </c>
      <c r="I105">
        <v>0</v>
      </c>
      <c r="J105" t="s">
        <v>36</v>
      </c>
      <c r="K105" t="s">
        <v>25</v>
      </c>
      <c r="L105" t="s">
        <v>37</v>
      </c>
      <c r="M105">
        <v>11</v>
      </c>
      <c r="N105" t="s">
        <v>27</v>
      </c>
      <c r="O105" t="s">
        <v>351</v>
      </c>
      <c r="P105" t="s">
        <v>29</v>
      </c>
      <c r="Q105" t="s">
        <v>27</v>
      </c>
      <c r="R105">
        <v>0</v>
      </c>
    </row>
    <row r="106" spans="1:18">
      <c r="A106" t="s">
        <v>361</v>
      </c>
      <c r="B106" t="s">
        <v>362</v>
      </c>
      <c r="C106" t="s">
        <v>363</v>
      </c>
      <c r="D106" t="s">
        <v>49</v>
      </c>
      <c r="E106" t="s">
        <v>22</v>
      </c>
      <c r="F106" t="s">
        <v>43</v>
      </c>
      <c r="G106" s="13">
        <v>45694</v>
      </c>
      <c r="H106">
        <v>96</v>
      </c>
      <c r="I106">
        <v>0</v>
      </c>
      <c r="J106" t="s">
        <v>36</v>
      </c>
      <c r="K106" t="s">
        <v>25</v>
      </c>
      <c r="L106" t="s">
        <v>37</v>
      </c>
      <c r="M106">
        <v>43</v>
      </c>
      <c r="N106" t="s">
        <v>27</v>
      </c>
      <c r="O106" t="s">
        <v>351</v>
      </c>
      <c r="P106" t="s">
        <v>29</v>
      </c>
      <c r="Q106" t="s">
        <v>27</v>
      </c>
      <c r="R106">
        <v>0</v>
      </c>
    </row>
    <row r="107" spans="1:18">
      <c r="A107" t="s">
        <v>364</v>
      </c>
      <c r="B107" t="s">
        <v>365</v>
      </c>
      <c r="C107" t="s">
        <v>366</v>
      </c>
      <c r="D107" t="s">
        <v>41</v>
      </c>
      <c r="E107" t="s">
        <v>34</v>
      </c>
      <c r="F107" t="s">
        <v>43</v>
      </c>
      <c r="G107" s="13">
        <v>45696</v>
      </c>
      <c r="H107">
        <v>165</v>
      </c>
      <c r="I107">
        <v>0</v>
      </c>
      <c r="J107" t="s">
        <v>36</v>
      </c>
      <c r="K107" t="s">
        <v>25</v>
      </c>
      <c r="L107" t="s">
        <v>37</v>
      </c>
      <c r="M107">
        <v>23</v>
      </c>
      <c r="N107" t="s">
        <v>30</v>
      </c>
      <c r="O107" t="s">
        <v>351</v>
      </c>
      <c r="P107" t="s">
        <v>29</v>
      </c>
      <c r="Q107" t="s">
        <v>27</v>
      </c>
      <c r="R107">
        <v>1</v>
      </c>
    </row>
    <row r="108" spans="1:18">
      <c r="A108" t="s">
        <v>367</v>
      </c>
      <c r="B108" t="s">
        <v>368</v>
      </c>
      <c r="C108" t="s">
        <v>369</v>
      </c>
      <c r="D108" t="s">
        <v>62</v>
      </c>
      <c r="E108" t="s">
        <v>22</v>
      </c>
      <c r="F108" t="s">
        <v>23</v>
      </c>
      <c r="G108" s="13">
        <v>45702</v>
      </c>
      <c r="H108">
        <v>154</v>
      </c>
      <c r="I108">
        <v>0</v>
      </c>
      <c r="J108" t="s">
        <v>36</v>
      </c>
      <c r="K108" t="s">
        <v>25</v>
      </c>
      <c r="L108" t="s">
        <v>37</v>
      </c>
      <c r="M108">
        <v>44</v>
      </c>
      <c r="N108" t="s">
        <v>30</v>
      </c>
      <c r="O108" t="s">
        <v>351</v>
      </c>
      <c r="P108" t="s">
        <v>29</v>
      </c>
      <c r="Q108" t="s">
        <v>27</v>
      </c>
      <c r="R108">
        <v>1</v>
      </c>
    </row>
    <row r="109" spans="1:18">
      <c r="A109" t="s">
        <v>370</v>
      </c>
      <c r="B109" t="s">
        <v>371</v>
      </c>
      <c r="C109" t="s">
        <v>372</v>
      </c>
      <c r="D109" t="s">
        <v>49</v>
      </c>
      <c r="E109" t="s">
        <v>34</v>
      </c>
      <c r="F109" t="s">
        <v>43</v>
      </c>
      <c r="G109" s="13">
        <v>45689</v>
      </c>
      <c r="H109">
        <v>134</v>
      </c>
      <c r="I109">
        <v>0</v>
      </c>
      <c r="J109" t="s">
        <v>36</v>
      </c>
      <c r="K109" t="s">
        <v>25</v>
      </c>
      <c r="L109" t="s">
        <v>37</v>
      </c>
      <c r="M109">
        <v>41</v>
      </c>
      <c r="N109" t="s">
        <v>27</v>
      </c>
      <c r="O109" t="s">
        <v>351</v>
      </c>
      <c r="P109" t="s">
        <v>29</v>
      </c>
      <c r="Q109" t="s">
        <v>27</v>
      </c>
      <c r="R109">
        <v>0</v>
      </c>
    </row>
    <row r="110" spans="1:18">
      <c r="A110" t="s">
        <v>373</v>
      </c>
      <c r="B110" t="s">
        <v>374</v>
      </c>
      <c r="C110" t="s">
        <v>375</v>
      </c>
      <c r="D110" t="s">
        <v>57</v>
      </c>
      <c r="E110" t="s">
        <v>42</v>
      </c>
      <c r="F110" t="s">
        <v>73</v>
      </c>
      <c r="G110" s="13">
        <v>45692</v>
      </c>
      <c r="H110">
        <v>67</v>
      </c>
      <c r="I110">
        <v>0</v>
      </c>
      <c r="J110" t="s">
        <v>36</v>
      </c>
      <c r="K110" t="s">
        <v>66</v>
      </c>
      <c r="L110" t="s">
        <v>37</v>
      </c>
      <c r="M110">
        <v>16</v>
      </c>
      <c r="N110" t="s">
        <v>27</v>
      </c>
      <c r="O110" t="s">
        <v>351</v>
      </c>
      <c r="P110" t="s">
        <v>29</v>
      </c>
      <c r="Q110" t="s">
        <v>27</v>
      </c>
      <c r="R110">
        <v>0</v>
      </c>
    </row>
    <row r="111" spans="1:18">
      <c r="A111" t="s">
        <v>376</v>
      </c>
      <c r="B111" t="s">
        <v>377</v>
      </c>
      <c r="C111" t="s">
        <v>378</v>
      </c>
      <c r="D111" t="s">
        <v>21</v>
      </c>
      <c r="E111" t="s">
        <v>22</v>
      </c>
      <c r="F111" t="s">
        <v>80</v>
      </c>
      <c r="G111" s="13">
        <v>45693</v>
      </c>
      <c r="H111">
        <v>85</v>
      </c>
      <c r="I111">
        <v>0</v>
      </c>
      <c r="J111" t="s">
        <v>36</v>
      </c>
      <c r="K111" t="s">
        <v>53</v>
      </c>
      <c r="L111" t="s">
        <v>26</v>
      </c>
      <c r="M111">
        <v>12</v>
      </c>
      <c r="N111" t="s">
        <v>27</v>
      </c>
      <c r="O111" t="s">
        <v>351</v>
      </c>
      <c r="P111" t="s">
        <v>29</v>
      </c>
      <c r="Q111" t="s">
        <v>27</v>
      </c>
      <c r="R111">
        <v>0</v>
      </c>
    </row>
    <row r="112" spans="1:18">
      <c r="A112" t="s">
        <v>379</v>
      </c>
      <c r="B112" t="s">
        <v>380</v>
      </c>
      <c r="C112" t="s">
        <v>381</v>
      </c>
      <c r="D112" t="s">
        <v>57</v>
      </c>
      <c r="E112" t="s">
        <v>42</v>
      </c>
      <c r="F112" t="s">
        <v>58</v>
      </c>
      <c r="G112" s="13">
        <v>45692</v>
      </c>
      <c r="H112">
        <v>115</v>
      </c>
      <c r="I112">
        <v>22.35</v>
      </c>
      <c r="J112" t="s">
        <v>173</v>
      </c>
      <c r="K112" t="s">
        <v>25</v>
      </c>
      <c r="L112" t="s">
        <v>26</v>
      </c>
      <c r="M112">
        <v>43</v>
      </c>
      <c r="N112" t="s">
        <v>27</v>
      </c>
      <c r="O112" t="s">
        <v>351</v>
      </c>
      <c r="P112" t="s">
        <v>29</v>
      </c>
      <c r="Q112" t="s">
        <v>30</v>
      </c>
      <c r="R112">
        <v>0</v>
      </c>
    </row>
    <row r="113" spans="1:18">
      <c r="A113" t="s">
        <v>382</v>
      </c>
      <c r="B113" t="s">
        <v>383</v>
      </c>
      <c r="C113" t="s">
        <v>384</v>
      </c>
      <c r="D113" t="s">
        <v>57</v>
      </c>
      <c r="E113" t="s">
        <v>34</v>
      </c>
      <c r="F113" t="s">
        <v>58</v>
      </c>
      <c r="G113" s="13">
        <v>45694</v>
      </c>
      <c r="H113">
        <v>94</v>
      </c>
      <c r="I113">
        <v>0</v>
      </c>
      <c r="J113" t="s">
        <v>36</v>
      </c>
      <c r="K113" t="s">
        <v>25</v>
      </c>
      <c r="L113" t="s">
        <v>37</v>
      </c>
      <c r="M113">
        <v>43</v>
      </c>
      <c r="N113" t="s">
        <v>27</v>
      </c>
      <c r="O113" t="s">
        <v>351</v>
      </c>
      <c r="P113" t="s">
        <v>29</v>
      </c>
      <c r="Q113" t="s">
        <v>27</v>
      </c>
      <c r="R113">
        <v>0</v>
      </c>
    </row>
    <row r="114" spans="1:18">
      <c r="A114" t="s">
        <v>385</v>
      </c>
      <c r="B114" t="s">
        <v>386</v>
      </c>
      <c r="C114" t="s">
        <v>387</v>
      </c>
      <c r="D114" t="s">
        <v>62</v>
      </c>
      <c r="E114" t="s">
        <v>34</v>
      </c>
      <c r="F114" t="s">
        <v>73</v>
      </c>
      <c r="G114" s="13">
        <v>45692</v>
      </c>
      <c r="H114">
        <v>128</v>
      </c>
      <c r="I114">
        <v>0</v>
      </c>
      <c r="J114" t="s">
        <v>36</v>
      </c>
      <c r="K114" t="s">
        <v>53</v>
      </c>
      <c r="L114" t="s">
        <v>37</v>
      </c>
      <c r="M114">
        <v>40</v>
      </c>
      <c r="N114" t="s">
        <v>27</v>
      </c>
      <c r="O114" t="s">
        <v>351</v>
      </c>
      <c r="P114" t="s">
        <v>29</v>
      </c>
      <c r="Q114" t="s">
        <v>27</v>
      </c>
      <c r="R114">
        <v>0</v>
      </c>
    </row>
    <row r="115" spans="1:18">
      <c r="A115" t="s">
        <v>388</v>
      </c>
      <c r="B115" t="s">
        <v>389</v>
      </c>
      <c r="C115" t="s">
        <v>390</v>
      </c>
      <c r="D115" t="s">
        <v>62</v>
      </c>
      <c r="E115" t="s">
        <v>22</v>
      </c>
      <c r="F115" t="s">
        <v>58</v>
      </c>
      <c r="G115" s="13">
        <v>45708</v>
      </c>
      <c r="H115">
        <v>142</v>
      </c>
      <c r="I115">
        <v>0</v>
      </c>
      <c r="J115" t="s">
        <v>36</v>
      </c>
      <c r="K115" t="s">
        <v>25</v>
      </c>
      <c r="L115" t="s">
        <v>37</v>
      </c>
      <c r="M115">
        <v>32</v>
      </c>
      <c r="N115" t="s">
        <v>27</v>
      </c>
      <c r="O115" t="s">
        <v>351</v>
      </c>
      <c r="P115" t="s">
        <v>29</v>
      </c>
      <c r="Q115" t="s">
        <v>27</v>
      </c>
      <c r="R115">
        <v>0</v>
      </c>
    </row>
    <row r="116" spans="1:18">
      <c r="A116" t="s">
        <v>391</v>
      </c>
      <c r="B116" t="s">
        <v>392</v>
      </c>
      <c r="C116" t="s">
        <v>393</v>
      </c>
      <c r="D116" t="s">
        <v>62</v>
      </c>
      <c r="E116" t="s">
        <v>42</v>
      </c>
      <c r="F116" t="s">
        <v>23</v>
      </c>
      <c r="G116" s="13">
        <v>45712</v>
      </c>
      <c r="H116">
        <v>158</v>
      </c>
      <c r="I116">
        <v>0</v>
      </c>
      <c r="J116" t="s">
        <v>36</v>
      </c>
      <c r="K116" t="s">
        <v>25</v>
      </c>
      <c r="L116" t="s">
        <v>26</v>
      </c>
      <c r="M116">
        <v>17</v>
      </c>
      <c r="N116" t="s">
        <v>30</v>
      </c>
      <c r="O116" t="s">
        <v>351</v>
      </c>
      <c r="P116" t="s">
        <v>29</v>
      </c>
      <c r="Q116" t="s">
        <v>27</v>
      </c>
      <c r="R116">
        <v>1</v>
      </c>
    </row>
    <row r="117" spans="1:18">
      <c r="A117" t="s">
        <v>394</v>
      </c>
      <c r="B117" t="s">
        <v>395</v>
      </c>
      <c r="C117" t="s">
        <v>396</v>
      </c>
      <c r="D117" t="s">
        <v>21</v>
      </c>
      <c r="E117" t="s">
        <v>34</v>
      </c>
      <c r="F117" t="s">
        <v>73</v>
      </c>
      <c r="G117" s="13">
        <v>45710</v>
      </c>
      <c r="H117">
        <v>122</v>
      </c>
      <c r="I117">
        <v>0</v>
      </c>
      <c r="J117" t="s">
        <v>36</v>
      </c>
      <c r="K117" t="s">
        <v>25</v>
      </c>
      <c r="L117" t="s">
        <v>37</v>
      </c>
      <c r="M117">
        <v>9</v>
      </c>
      <c r="N117" t="s">
        <v>27</v>
      </c>
      <c r="O117" t="s">
        <v>351</v>
      </c>
      <c r="P117" t="s">
        <v>29</v>
      </c>
      <c r="Q117" t="s">
        <v>27</v>
      </c>
      <c r="R117">
        <v>0</v>
      </c>
    </row>
    <row r="118" spans="1:18">
      <c r="A118" t="s">
        <v>397</v>
      </c>
      <c r="B118" t="s">
        <v>398</v>
      </c>
      <c r="C118" t="s">
        <v>399</v>
      </c>
      <c r="D118" t="s">
        <v>57</v>
      </c>
      <c r="E118" t="s">
        <v>22</v>
      </c>
      <c r="F118" t="s">
        <v>35</v>
      </c>
      <c r="G118" s="13">
        <v>45713</v>
      </c>
      <c r="H118">
        <v>150</v>
      </c>
      <c r="I118">
        <v>0</v>
      </c>
      <c r="J118" t="s">
        <v>36</v>
      </c>
      <c r="K118" t="s">
        <v>25</v>
      </c>
      <c r="L118" t="s">
        <v>37</v>
      </c>
      <c r="M118">
        <v>46</v>
      </c>
      <c r="N118" t="s">
        <v>27</v>
      </c>
      <c r="O118" t="s">
        <v>351</v>
      </c>
      <c r="P118" t="s">
        <v>29</v>
      </c>
      <c r="Q118" t="s">
        <v>27</v>
      </c>
      <c r="R118">
        <v>0</v>
      </c>
    </row>
    <row r="119" spans="1:18">
      <c r="A119" t="s">
        <v>400</v>
      </c>
      <c r="B119" t="s">
        <v>401</v>
      </c>
      <c r="C119" t="s">
        <v>402</v>
      </c>
      <c r="D119" t="s">
        <v>57</v>
      </c>
      <c r="E119" t="s">
        <v>34</v>
      </c>
      <c r="F119" t="s">
        <v>23</v>
      </c>
      <c r="G119" s="13">
        <v>45708</v>
      </c>
      <c r="H119">
        <v>101</v>
      </c>
      <c r="I119">
        <v>0</v>
      </c>
      <c r="J119" t="s">
        <v>36</v>
      </c>
      <c r="K119" t="s">
        <v>53</v>
      </c>
      <c r="L119" t="s">
        <v>37</v>
      </c>
      <c r="M119">
        <v>5</v>
      </c>
      <c r="N119" t="s">
        <v>27</v>
      </c>
      <c r="O119" t="s">
        <v>351</v>
      </c>
      <c r="P119" t="s">
        <v>29</v>
      </c>
      <c r="Q119" t="s">
        <v>27</v>
      </c>
      <c r="R119">
        <v>0</v>
      </c>
    </row>
    <row r="120" spans="1:18">
      <c r="A120" t="s">
        <v>403</v>
      </c>
      <c r="B120" t="s">
        <v>404</v>
      </c>
      <c r="C120" t="s">
        <v>405</v>
      </c>
      <c r="D120" t="s">
        <v>49</v>
      </c>
      <c r="E120" t="s">
        <v>22</v>
      </c>
      <c r="F120" t="s">
        <v>23</v>
      </c>
      <c r="G120" s="13">
        <v>45693</v>
      </c>
      <c r="H120">
        <v>133</v>
      </c>
      <c r="I120">
        <v>0</v>
      </c>
      <c r="J120" t="s">
        <v>36</v>
      </c>
      <c r="K120" t="s">
        <v>25</v>
      </c>
      <c r="L120" t="s">
        <v>37</v>
      </c>
      <c r="M120">
        <v>26</v>
      </c>
      <c r="N120" t="s">
        <v>27</v>
      </c>
      <c r="O120" t="s">
        <v>351</v>
      </c>
      <c r="P120" t="s">
        <v>29</v>
      </c>
      <c r="Q120" t="s">
        <v>27</v>
      </c>
      <c r="R120">
        <v>0</v>
      </c>
    </row>
    <row r="121" spans="1:18">
      <c r="A121" t="s">
        <v>406</v>
      </c>
      <c r="B121" t="s">
        <v>407</v>
      </c>
      <c r="C121" t="s">
        <v>408</v>
      </c>
      <c r="D121" t="s">
        <v>62</v>
      </c>
      <c r="E121" t="s">
        <v>42</v>
      </c>
      <c r="F121" t="s">
        <v>80</v>
      </c>
      <c r="G121" s="13">
        <v>45700</v>
      </c>
      <c r="H121">
        <v>166</v>
      </c>
      <c r="I121">
        <v>0</v>
      </c>
      <c r="J121" t="s">
        <v>36</v>
      </c>
      <c r="K121" t="s">
        <v>25</v>
      </c>
      <c r="L121" t="s">
        <v>37</v>
      </c>
      <c r="M121">
        <v>43</v>
      </c>
      <c r="N121" t="s">
        <v>30</v>
      </c>
      <c r="O121" t="s">
        <v>351</v>
      </c>
      <c r="P121" t="s">
        <v>29</v>
      </c>
      <c r="Q121" t="s">
        <v>27</v>
      </c>
      <c r="R121">
        <v>1</v>
      </c>
    </row>
    <row r="122" spans="1:18">
      <c r="A122" t="s">
        <v>409</v>
      </c>
      <c r="B122" t="s">
        <v>410</v>
      </c>
      <c r="C122" t="s">
        <v>411</v>
      </c>
      <c r="D122" t="s">
        <v>49</v>
      </c>
      <c r="E122" t="s">
        <v>42</v>
      </c>
      <c r="F122" t="s">
        <v>73</v>
      </c>
      <c r="G122" s="13">
        <v>45700</v>
      </c>
      <c r="H122">
        <v>79</v>
      </c>
      <c r="I122">
        <v>0</v>
      </c>
      <c r="J122" t="s">
        <v>36</v>
      </c>
      <c r="K122" t="s">
        <v>25</v>
      </c>
      <c r="L122" t="s">
        <v>37</v>
      </c>
      <c r="M122">
        <v>44</v>
      </c>
      <c r="N122" t="s">
        <v>27</v>
      </c>
      <c r="O122" t="s">
        <v>351</v>
      </c>
      <c r="P122" t="s">
        <v>29</v>
      </c>
      <c r="Q122" t="s">
        <v>27</v>
      </c>
      <c r="R122">
        <v>0</v>
      </c>
    </row>
    <row r="123" spans="1:18">
      <c r="A123" t="s">
        <v>412</v>
      </c>
      <c r="B123" t="s">
        <v>413</v>
      </c>
      <c r="C123" t="s">
        <v>414</v>
      </c>
      <c r="D123" t="s">
        <v>41</v>
      </c>
      <c r="E123" t="s">
        <v>34</v>
      </c>
      <c r="F123" t="s">
        <v>73</v>
      </c>
      <c r="G123" s="13">
        <v>45716</v>
      </c>
      <c r="H123">
        <v>84</v>
      </c>
      <c r="I123">
        <v>0</v>
      </c>
      <c r="J123" t="s">
        <v>36</v>
      </c>
      <c r="K123" t="s">
        <v>25</v>
      </c>
      <c r="L123" t="s">
        <v>37</v>
      </c>
      <c r="M123">
        <v>15</v>
      </c>
      <c r="N123" t="s">
        <v>27</v>
      </c>
      <c r="O123" t="s">
        <v>351</v>
      </c>
      <c r="P123" t="s">
        <v>29</v>
      </c>
      <c r="Q123" t="s">
        <v>27</v>
      </c>
      <c r="R123">
        <v>0</v>
      </c>
    </row>
    <row r="124" spans="1:18">
      <c r="A124" t="s">
        <v>415</v>
      </c>
      <c r="B124" t="s">
        <v>416</v>
      </c>
      <c r="C124" t="s">
        <v>417</v>
      </c>
      <c r="D124" t="s">
        <v>62</v>
      </c>
      <c r="E124" t="s">
        <v>42</v>
      </c>
      <c r="F124" t="s">
        <v>35</v>
      </c>
      <c r="G124" s="13">
        <v>45715</v>
      </c>
      <c r="H124">
        <v>138</v>
      </c>
      <c r="I124">
        <v>27.01</v>
      </c>
      <c r="J124" t="s">
        <v>24</v>
      </c>
      <c r="K124" t="s">
        <v>25</v>
      </c>
      <c r="L124" t="s">
        <v>26</v>
      </c>
      <c r="M124">
        <v>18</v>
      </c>
      <c r="N124" t="s">
        <v>27</v>
      </c>
      <c r="O124" t="s">
        <v>351</v>
      </c>
      <c r="P124" t="s">
        <v>29</v>
      </c>
      <c r="Q124" t="s">
        <v>30</v>
      </c>
      <c r="R124">
        <v>0</v>
      </c>
    </row>
    <row r="125" spans="1:18">
      <c r="A125" t="s">
        <v>418</v>
      </c>
      <c r="B125" t="s">
        <v>419</v>
      </c>
      <c r="C125" t="s">
        <v>420</v>
      </c>
      <c r="D125" t="s">
        <v>49</v>
      </c>
      <c r="E125" t="s">
        <v>42</v>
      </c>
      <c r="F125" t="s">
        <v>43</v>
      </c>
      <c r="G125" s="13">
        <v>45701</v>
      </c>
      <c r="H125">
        <v>154</v>
      </c>
      <c r="I125">
        <v>0</v>
      </c>
      <c r="J125" t="s">
        <v>36</v>
      </c>
      <c r="K125" t="s">
        <v>25</v>
      </c>
      <c r="L125" t="s">
        <v>37</v>
      </c>
      <c r="M125">
        <v>27</v>
      </c>
      <c r="N125" t="s">
        <v>30</v>
      </c>
      <c r="O125" t="s">
        <v>351</v>
      </c>
      <c r="P125" t="s">
        <v>29</v>
      </c>
      <c r="Q125" t="s">
        <v>27</v>
      </c>
      <c r="R125">
        <v>1</v>
      </c>
    </row>
    <row r="126" spans="1:18">
      <c r="A126" t="s">
        <v>421</v>
      </c>
      <c r="B126" t="s">
        <v>422</v>
      </c>
      <c r="C126" t="s">
        <v>423</v>
      </c>
      <c r="D126" t="s">
        <v>62</v>
      </c>
      <c r="E126" t="s">
        <v>42</v>
      </c>
      <c r="F126" t="s">
        <v>35</v>
      </c>
      <c r="G126" s="13">
        <v>45696</v>
      </c>
      <c r="H126">
        <v>144</v>
      </c>
      <c r="I126">
        <v>0</v>
      </c>
      <c r="J126" t="s">
        <v>36</v>
      </c>
      <c r="K126" t="s">
        <v>53</v>
      </c>
      <c r="L126" t="s">
        <v>37</v>
      </c>
      <c r="M126">
        <v>36</v>
      </c>
      <c r="N126" t="s">
        <v>27</v>
      </c>
      <c r="O126" t="s">
        <v>351</v>
      </c>
      <c r="P126" t="s">
        <v>29</v>
      </c>
      <c r="Q126" t="s">
        <v>27</v>
      </c>
      <c r="R126">
        <v>0</v>
      </c>
    </row>
    <row r="127" spans="1:18">
      <c r="A127" t="s">
        <v>424</v>
      </c>
      <c r="B127" t="s">
        <v>425</v>
      </c>
      <c r="C127" t="s">
        <v>426</v>
      </c>
      <c r="D127" t="s">
        <v>57</v>
      </c>
      <c r="E127" t="s">
        <v>22</v>
      </c>
      <c r="F127" t="s">
        <v>43</v>
      </c>
      <c r="G127" s="13">
        <v>45701</v>
      </c>
      <c r="H127">
        <v>111</v>
      </c>
      <c r="I127">
        <v>46.08</v>
      </c>
      <c r="J127" t="s">
        <v>24</v>
      </c>
      <c r="K127" t="s">
        <v>45</v>
      </c>
      <c r="L127" t="s">
        <v>26</v>
      </c>
      <c r="M127">
        <v>15</v>
      </c>
      <c r="N127" t="s">
        <v>30</v>
      </c>
      <c r="O127" t="s">
        <v>351</v>
      </c>
      <c r="P127" t="s">
        <v>29</v>
      </c>
      <c r="Q127" t="s">
        <v>30</v>
      </c>
      <c r="R127">
        <v>1</v>
      </c>
    </row>
    <row r="128" spans="1:18">
      <c r="A128" t="s">
        <v>427</v>
      </c>
      <c r="B128" t="s">
        <v>428</v>
      </c>
      <c r="C128" t="s">
        <v>429</v>
      </c>
      <c r="D128" t="s">
        <v>41</v>
      </c>
      <c r="E128" t="s">
        <v>42</v>
      </c>
      <c r="F128" t="s">
        <v>58</v>
      </c>
      <c r="G128" s="13">
        <v>45700</v>
      </c>
      <c r="H128">
        <v>111</v>
      </c>
      <c r="I128">
        <v>0</v>
      </c>
      <c r="J128" t="s">
        <v>36</v>
      </c>
      <c r="K128" t="s">
        <v>25</v>
      </c>
      <c r="L128" t="s">
        <v>37</v>
      </c>
      <c r="M128">
        <v>26</v>
      </c>
      <c r="N128" t="s">
        <v>27</v>
      </c>
      <c r="O128" t="s">
        <v>351</v>
      </c>
      <c r="P128" t="s">
        <v>29</v>
      </c>
      <c r="Q128" t="s">
        <v>27</v>
      </c>
      <c r="R128">
        <v>0</v>
      </c>
    </row>
    <row r="129" spans="1:18">
      <c r="A129" t="s">
        <v>430</v>
      </c>
      <c r="B129" t="s">
        <v>431</v>
      </c>
      <c r="C129" t="s">
        <v>432</v>
      </c>
      <c r="D129" t="s">
        <v>57</v>
      </c>
      <c r="E129" t="s">
        <v>34</v>
      </c>
      <c r="F129" t="s">
        <v>73</v>
      </c>
      <c r="G129" s="13">
        <v>45714</v>
      </c>
      <c r="H129">
        <v>128</v>
      </c>
      <c r="I129">
        <v>0</v>
      </c>
      <c r="J129" t="s">
        <v>36</v>
      </c>
      <c r="K129" t="s">
        <v>45</v>
      </c>
      <c r="L129" t="s">
        <v>37</v>
      </c>
      <c r="M129">
        <v>36</v>
      </c>
      <c r="N129" t="s">
        <v>27</v>
      </c>
      <c r="O129" t="s">
        <v>351</v>
      </c>
      <c r="P129" t="s">
        <v>29</v>
      </c>
      <c r="Q129" t="s">
        <v>27</v>
      </c>
      <c r="R129">
        <v>0</v>
      </c>
    </row>
    <row r="130" spans="1:18">
      <c r="A130" t="s">
        <v>433</v>
      </c>
      <c r="B130" t="s">
        <v>434</v>
      </c>
      <c r="C130" t="s">
        <v>435</v>
      </c>
      <c r="D130" t="s">
        <v>62</v>
      </c>
      <c r="E130" t="s">
        <v>34</v>
      </c>
      <c r="F130" t="s">
        <v>35</v>
      </c>
      <c r="G130" s="13">
        <v>45703</v>
      </c>
      <c r="H130">
        <v>129</v>
      </c>
      <c r="I130">
        <v>0</v>
      </c>
      <c r="J130" t="s">
        <v>36</v>
      </c>
      <c r="K130" t="s">
        <v>53</v>
      </c>
      <c r="L130" t="s">
        <v>37</v>
      </c>
      <c r="M130">
        <v>37</v>
      </c>
      <c r="N130" t="s">
        <v>27</v>
      </c>
      <c r="O130" t="s">
        <v>351</v>
      </c>
      <c r="P130" t="s">
        <v>29</v>
      </c>
      <c r="Q130" t="s">
        <v>27</v>
      </c>
      <c r="R130">
        <v>0</v>
      </c>
    </row>
    <row r="131" spans="1:18">
      <c r="A131" t="s">
        <v>436</v>
      </c>
      <c r="B131" t="s">
        <v>437</v>
      </c>
      <c r="C131" t="s">
        <v>438</v>
      </c>
      <c r="D131" t="s">
        <v>49</v>
      </c>
      <c r="E131" t="s">
        <v>22</v>
      </c>
      <c r="F131" t="s">
        <v>73</v>
      </c>
      <c r="G131" s="13">
        <v>45703</v>
      </c>
      <c r="H131">
        <v>166</v>
      </c>
      <c r="I131">
        <v>0</v>
      </c>
      <c r="J131" t="s">
        <v>36</v>
      </c>
      <c r="K131" t="s">
        <v>25</v>
      </c>
      <c r="L131" t="s">
        <v>37</v>
      </c>
      <c r="M131">
        <v>39</v>
      </c>
      <c r="N131" t="s">
        <v>30</v>
      </c>
      <c r="O131" t="s">
        <v>351</v>
      </c>
      <c r="P131" t="s">
        <v>29</v>
      </c>
      <c r="Q131" t="s">
        <v>27</v>
      </c>
      <c r="R131">
        <v>1</v>
      </c>
    </row>
    <row r="132" spans="1:18">
      <c r="A132" t="s">
        <v>439</v>
      </c>
      <c r="B132" t="s">
        <v>440</v>
      </c>
      <c r="C132" t="s">
        <v>441</v>
      </c>
      <c r="D132" t="s">
        <v>62</v>
      </c>
      <c r="E132" t="s">
        <v>34</v>
      </c>
      <c r="F132" t="s">
        <v>23</v>
      </c>
      <c r="G132" s="13">
        <v>45714</v>
      </c>
      <c r="H132">
        <v>67</v>
      </c>
      <c r="I132">
        <v>0</v>
      </c>
      <c r="J132" t="s">
        <v>36</v>
      </c>
      <c r="K132" t="s">
        <v>66</v>
      </c>
      <c r="L132" t="s">
        <v>37</v>
      </c>
      <c r="M132">
        <v>48</v>
      </c>
      <c r="N132" t="s">
        <v>27</v>
      </c>
      <c r="O132" t="s">
        <v>351</v>
      </c>
      <c r="P132" t="s">
        <v>29</v>
      </c>
      <c r="Q132" t="s">
        <v>27</v>
      </c>
      <c r="R132">
        <v>0</v>
      </c>
    </row>
    <row r="133" spans="1:18">
      <c r="A133" t="s">
        <v>442</v>
      </c>
      <c r="B133" t="s">
        <v>443</v>
      </c>
      <c r="C133" t="s">
        <v>444</v>
      </c>
      <c r="D133" t="s">
        <v>41</v>
      </c>
      <c r="E133" t="s">
        <v>22</v>
      </c>
      <c r="F133" t="s">
        <v>58</v>
      </c>
      <c r="G133" s="13">
        <v>45715</v>
      </c>
      <c r="H133">
        <v>117</v>
      </c>
      <c r="I133">
        <v>0</v>
      </c>
      <c r="J133" t="s">
        <v>36</v>
      </c>
      <c r="K133" t="s">
        <v>66</v>
      </c>
      <c r="L133" t="s">
        <v>37</v>
      </c>
      <c r="M133">
        <v>21</v>
      </c>
      <c r="N133" t="s">
        <v>27</v>
      </c>
      <c r="O133" t="s">
        <v>351</v>
      </c>
      <c r="P133" t="s">
        <v>29</v>
      </c>
      <c r="Q133" t="s">
        <v>27</v>
      </c>
      <c r="R133">
        <v>0</v>
      </c>
    </row>
    <row r="134" spans="1:18">
      <c r="A134" t="s">
        <v>445</v>
      </c>
      <c r="B134" t="s">
        <v>446</v>
      </c>
      <c r="C134" t="s">
        <v>447</v>
      </c>
      <c r="D134" t="s">
        <v>49</v>
      </c>
      <c r="E134" t="s">
        <v>22</v>
      </c>
      <c r="F134" t="s">
        <v>43</v>
      </c>
      <c r="G134" s="13">
        <v>45710</v>
      </c>
      <c r="H134">
        <v>80</v>
      </c>
      <c r="I134">
        <v>42.33</v>
      </c>
      <c r="J134" t="s">
        <v>24</v>
      </c>
      <c r="K134" t="s">
        <v>25</v>
      </c>
      <c r="L134" t="s">
        <v>26</v>
      </c>
      <c r="M134">
        <v>23</v>
      </c>
      <c r="N134" t="s">
        <v>30</v>
      </c>
      <c r="O134" t="s">
        <v>351</v>
      </c>
      <c r="P134" t="s">
        <v>29</v>
      </c>
      <c r="Q134" t="s">
        <v>30</v>
      </c>
      <c r="R134">
        <v>1</v>
      </c>
    </row>
    <row r="135" spans="1:18">
      <c r="A135" t="s">
        <v>448</v>
      </c>
      <c r="B135" t="s">
        <v>449</v>
      </c>
      <c r="C135" t="s">
        <v>450</v>
      </c>
      <c r="D135" t="s">
        <v>57</v>
      </c>
      <c r="E135" t="s">
        <v>22</v>
      </c>
      <c r="F135" t="s">
        <v>43</v>
      </c>
      <c r="G135" s="13">
        <v>45703</v>
      </c>
      <c r="H135">
        <v>66</v>
      </c>
      <c r="I135">
        <v>0</v>
      </c>
      <c r="J135" t="s">
        <v>36</v>
      </c>
      <c r="K135" t="s">
        <v>53</v>
      </c>
      <c r="L135" t="s">
        <v>26</v>
      </c>
      <c r="M135">
        <v>38</v>
      </c>
      <c r="N135" t="s">
        <v>27</v>
      </c>
      <c r="O135" t="s">
        <v>351</v>
      </c>
      <c r="P135" t="s">
        <v>29</v>
      </c>
      <c r="Q135" t="s">
        <v>27</v>
      </c>
      <c r="R135">
        <v>0</v>
      </c>
    </row>
    <row r="136" spans="1:18">
      <c r="A136" t="s">
        <v>451</v>
      </c>
      <c r="B136" t="s">
        <v>452</v>
      </c>
      <c r="C136" t="s">
        <v>453</v>
      </c>
      <c r="D136" t="s">
        <v>21</v>
      </c>
      <c r="E136" t="s">
        <v>42</v>
      </c>
      <c r="F136" t="s">
        <v>23</v>
      </c>
      <c r="G136" s="13">
        <v>45690</v>
      </c>
      <c r="H136">
        <v>63</v>
      </c>
      <c r="I136">
        <v>0</v>
      </c>
      <c r="J136" t="s">
        <v>36</v>
      </c>
      <c r="K136" t="s">
        <v>45</v>
      </c>
      <c r="L136" t="s">
        <v>37</v>
      </c>
      <c r="M136">
        <v>4</v>
      </c>
      <c r="N136" t="s">
        <v>27</v>
      </c>
      <c r="O136" t="s">
        <v>351</v>
      </c>
      <c r="P136" t="s">
        <v>29</v>
      </c>
      <c r="Q136" t="s">
        <v>27</v>
      </c>
      <c r="R136">
        <v>0</v>
      </c>
    </row>
    <row r="137" spans="1:18">
      <c r="A137" t="s">
        <v>454</v>
      </c>
      <c r="B137" t="s">
        <v>455</v>
      </c>
      <c r="C137" t="s">
        <v>456</v>
      </c>
      <c r="D137" t="s">
        <v>21</v>
      </c>
      <c r="E137" t="s">
        <v>42</v>
      </c>
      <c r="F137" t="s">
        <v>23</v>
      </c>
      <c r="G137" s="13">
        <v>45689</v>
      </c>
      <c r="H137">
        <v>84</v>
      </c>
      <c r="I137">
        <v>23.18</v>
      </c>
      <c r="J137" t="s">
        <v>173</v>
      </c>
      <c r="K137" t="s">
        <v>25</v>
      </c>
      <c r="L137" t="s">
        <v>26</v>
      </c>
      <c r="M137">
        <v>2</v>
      </c>
      <c r="N137" t="s">
        <v>27</v>
      </c>
      <c r="O137" t="s">
        <v>351</v>
      </c>
      <c r="P137" t="s">
        <v>29</v>
      </c>
      <c r="Q137" t="s">
        <v>30</v>
      </c>
      <c r="R137">
        <v>0</v>
      </c>
    </row>
    <row r="138" spans="1:18">
      <c r="A138" t="s">
        <v>457</v>
      </c>
      <c r="B138" t="s">
        <v>458</v>
      </c>
      <c r="C138" t="s">
        <v>459</v>
      </c>
      <c r="D138" t="s">
        <v>49</v>
      </c>
      <c r="E138" t="s">
        <v>34</v>
      </c>
      <c r="F138" t="s">
        <v>80</v>
      </c>
      <c r="G138" s="13">
        <v>45690</v>
      </c>
      <c r="H138">
        <v>91</v>
      </c>
      <c r="I138">
        <v>0</v>
      </c>
      <c r="J138" t="s">
        <v>36</v>
      </c>
      <c r="K138" t="s">
        <v>25</v>
      </c>
      <c r="L138" t="s">
        <v>37</v>
      </c>
      <c r="M138">
        <v>22</v>
      </c>
      <c r="N138" t="s">
        <v>27</v>
      </c>
      <c r="O138" t="s">
        <v>351</v>
      </c>
      <c r="P138" t="s">
        <v>29</v>
      </c>
      <c r="Q138" t="s">
        <v>27</v>
      </c>
      <c r="R138">
        <v>0</v>
      </c>
    </row>
    <row r="139" spans="1:18">
      <c r="A139" t="s">
        <v>460</v>
      </c>
      <c r="B139" t="s">
        <v>461</v>
      </c>
      <c r="C139" t="s">
        <v>462</v>
      </c>
      <c r="D139" t="s">
        <v>57</v>
      </c>
      <c r="E139" t="s">
        <v>42</v>
      </c>
      <c r="F139" t="s">
        <v>58</v>
      </c>
      <c r="G139" s="13">
        <v>45708</v>
      </c>
      <c r="H139">
        <v>127</v>
      </c>
      <c r="I139">
        <v>40.21</v>
      </c>
      <c r="J139" t="s">
        <v>44</v>
      </c>
      <c r="K139" t="s">
        <v>25</v>
      </c>
      <c r="L139" t="s">
        <v>26</v>
      </c>
      <c r="M139">
        <v>38</v>
      </c>
      <c r="N139" t="s">
        <v>30</v>
      </c>
      <c r="O139" t="s">
        <v>351</v>
      </c>
      <c r="P139" t="s">
        <v>29</v>
      </c>
      <c r="Q139" t="s">
        <v>30</v>
      </c>
      <c r="R139">
        <v>1</v>
      </c>
    </row>
    <row r="140" spans="1:18">
      <c r="A140" t="s">
        <v>463</v>
      </c>
      <c r="B140" t="s">
        <v>464</v>
      </c>
      <c r="C140" t="s">
        <v>465</v>
      </c>
      <c r="D140" t="s">
        <v>62</v>
      </c>
      <c r="E140" t="s">
        <v>34</v>
      </c>
      <c r="F140" t="s">
        <v>58</v>
      </c>
      <c r="G140" s="13">
        <v>45708</v>
      </c>
      <c r="H140">
        <v>112</v>
      </c>
      <c r="I140">
        <v>13.89</v>
      </c>
      <c r="J140" t="s">
        <v>44</v>
      </c>
      <c r="K140" t="s">
        <v>45</v>
      </c>
      <c r="L140" t="s">
        <v>26</v>
      </c>
      <c r="M140">
        <v>25</v>
      </c>
      <c r="N140" t="s">
        <v>27</v>
      </c>
      <c r="O140" t="s">
        <v>351</v>
      </c>
      <c r="P140" t="s">
        <v>29</v>
      </c>
      <c r="Q140" t="s">
        <v>30</v>
      </c>
      <c r="R140">
        <v>0</v>
      </c>
    </row>
    <row r="141" spans="1:18">
      <c r="A141" t="s">
        <v>466</v>
      </c>
      <c r="B141" t="s">
        <v>467</v>
      </c>
      <c r="C141" t="s">
        <v>468</v>
      </c>
      <c r="D141" t="s">
        <v>41</v>
      </c>
      <c r="E141" t="s">
        <v>34</v>
      </c>
      <c r="F141" t="s">
        <v>58</v>
      </c>
      <c r="G141" s="13">
        <v>45704</v>
      </c>
      <c r="H141">
        <v>80</v>
      </c>
      <c r="I141">
        <v>0</v>
      </c>
      <c r="J141" t="s">
        <v>36</v>
      </c>
      <c r="K141" t="s">
        <v>25</v>
      </c>
      <c r="L141" t="s">
        <v>37</v>
      </c>
      <c r="M141">
        <v>16</v>
      </c>
      <c r="N141" t="s">
        <v>27</v>
      </c>
      <c r="O141" t="s">
        <v>351</v>
      </c>
      <c r="P141" t="s">
        <v>29</v>
      </c>
      <c r="Q141" t="s">
        <v>27</v>
      </c>
      <c r="R141">
        <v>0</v>
      </c>
    </row>
    <row r="142" spans="1:18">
      <c r="A142" t="s">
        <v>469</v>
      </c>
      <c r="B142" t="s">
        <v>470</v>
      </c>
      <c r="C142" t="s">
        <v>471</v>
      </c>
      <c r="D142" t="s">
        <v>49</v>
      </c>
      <c r="E142" t="s">
        <v>22</v>
      </c>
      <c r="F142" t="s">
        <v>23</v>
      </c>
      <c r="G142" s="13">
        <v>45708</v>
      </c>
      <c r="H142">
        <v>70</v>
      </c>
      <c r="I142">
        <v>19.62</v>
      </c>
      <c r="J142" t="s">
        <v>129</v>
      </c>
      <c r="K142" t="s">
        <v>25</v>
      </c>
      <c r="L142" t="s">
        <v>26</v>
      </c>
      <c r="M142">
        <v>47</v>
      </c>
      <c r="N142" t="s">
        <v>27</v>
      </c>
      <c r="O142" t="s">
        <v>351</v>
      </c>
      <c r="P142" t="s">
        <v>29</v>
      </c>
      <c r="Q142" t="s">
        <v>30</v>
      </c>
      <c r="R142">
        <v>0</v>
      </c>
    </row>
    <row r="143" spans="1:18">
      <c r="A143" t="s">
        <v>472</v>
      </c>
      <c r="B143" t="s">
        <v>473</v>
      </c>
      <c r="C143" t="s">
        <v>474</v>
      </c>
      <c r="D143" t="s">
        <v>62</v>
      </c>
      <c r="E143" t="s">
        <v>42</v>
      </c>
      <c r="F143" t="s">
        <v>35</v>
      </c>
      <c r="G143" s="13">
        <v>45708</v>
      </c>
      <c r="H143">
        <v>178</v>
      </c>
      <c r="I143">
        <v>38.369999999999997</v>
      </c>
      <c r="J143" t="s">
        <v>44</v>
      </c>
      <c r="K143" t="s">
        <v>25</v>
      </c>
      <c r="L143" t="s">
        <v>26</v>
      </c>
      <c r="M143">
        <v>32</v>
      </c>
      <c r="N143" t="s">
        <v>30</v>
      </c>
      <c r="O143" t="s">
        <v>351</v>
      </c>
      <c r="P143" t="s">
        <v>29</v>
      </c>
      <c r="Q143" t="s">
        <v>30</v>
      </c>
      <c r="R143">
        <v>1</v>
      </c>
    </row>
    <row r="144" spans="1:18">
      <c r="A144" t="s">
        <v>475</v>
      </c>
      <c r="B144" t="s">
        <v>476</v>
      </c>
      <c r="C144" t="s">
        <v>477</v>
      </c>
      <c r="D144" t="s">
        <v>62</v>
      </c>
      <c r="E144" t="s">
        <v>34</v>
      </c>
      <c r="F144" t="s">
        <v>58</v>
      </c>
      <c r="G144" s="13">
        <v>45738</v>
      </c>
      <c r="H144">
        <v>63</v>
      </c>
      <c r="I144">
        <v>0</v>
      </c>
      <c r="J144" t="s">
        <v>36</v>
      </c>
      <c r="K144" t="s">
        <v>25</v>
      </c>
      <c r="L144" t="s">
        <v>37</v>
      </c>
      <c r="M144">
        <v>4</v>
      </c>
      <c r="N144" t="s">
        <v>27</v>
      </c>
      <c r="O144" t="s">
        <v>478</v>
      </c>
      <c r="P144" t="s">
        <v>29</v>
      </c>
      <c r="Q144" t="s">
        <v>27</v>
      </c>
      <c r="R144">
        <v>0</v>
      </c>
    </row>
    <row r="145" spans="1:18">
      <c r="A145" t="s">
        <v>479</v>
      </c>
      <c r="B145" t="s">
        <v>480</v>
      </c>
      <c r="C145" t="s">
        <v>481</v>
      </c>
      <c r="D145" t="s">
        <v>62</v>
      </c>
      <c r="E145" t="s">
        <v>22</v>
      </c>
      <c r="F145" t="s">
        <v>80</v>
      </c>
      <c r="G145" s="13">
        <v>45724</v>
      </c>
      <c r="H145">
        <v>100</v>
      </c>
      <c r="I145">
        <v>0</v>
      </c>
      <c r="J145" t="s">
        <v>36</v>
      </c>
      <c r="K145" t="s">
        <v>25</v>
      </c>
      <c r="L145" t="s">
        <v>37</v>
      </c>
      <c r="M145">
        <v>36</v>
      </c>
      <c r="N145" t="s">
        <v>27</v>
      </c>
      <c r="O145" t="s">
        <v>478</v>
      </c>
      <c r="P145" t="s">
        <v>29</v>
      </c>
      <c r="Q145" t="s">
        <v>27</v>
      </c>
      <c r="R145">
        <v>0</v>
      </c>
    </row>
    <row r="146" spans="1:18">
      <c r="A146" t="s">
        <v>482</v>
      </c>
      <c r="B146" t="s">
        <v>483</v>
      </c>
      <c r="C146" t="s">
        <v>484</v>
      </c>
      <c r="D146" t="s">
        <v>49</v>
      </c>
      <c r="E146" t="s">
        <v>34</v>
      </c>
      <c r="F146" t="s">
        <v>73</v>
      </c>
      <c r="G146" s="13">
        <v>45719</v>
      </c>
      <c r="H146">
        <v>151</v>
      </c>
      <c r="I146">
        <v>0</v>
      </c>
      <c r="J146" t="s">
        <v>36</v>
      </c>
      <c r="K146" t="s">
        <v>25</v>
      </c>
      <c r="L146" t="s">
        <v>37</v>
      </c>
      <c r="M146">
        <v>47</v>
      </c>
      <c r="N146" t="s">
        <v>30</v>
      </c>
      <c r="O146" t="s">
        <v>478</v>
      </c>
      <c r="P146" t="s">
        <v>29</v>
      </c>
      <c r="Q146" t="s">
        <v>27</v>
      </c>
      <c r="R146">
        <v>1</v>
      </c>
    </row>
    <row r="147" spans="1:18">
      <c r="A147" t="s">
        <v>485</v>
      </c>
      <c r="B147" t="s">
        <v>486</v>
      </c>
      <c r="C147" t="s">
        <v>487</v>
      </c>
      <c r="D147" t="s">
        <v>62</v>
      </c>
      <c r="E147" t="s">
        <v>34</v>
      </c>
      <c r="F147" t="s">
        <v>73</v>
      </c>
      <c r="G147" s="13">
        <v>45740</v>
      </c>
      <c r="H147">
        <v>121</v>
      </c>
      <c r="I147">
        <v>7.28</v>
      </c>
      <c r="J147" t="s">
        <v>24</v>
      </c>
      <c r="K147" t="s">
        <v>25</v>
      </c>
      <c r="L147" t="s">
        <v>26</v>
      </c>
      <c r="M147">
        <v>34</v>
      </c>
      <c r="N147" t="s">
        <v>27</v>
      </c>
      <c r="O147" t="s">
        <v>478</v>
      </c>
      <c r="P147" t="s">
        <v>29</v>
      </c>
      <c r="Q147" t="s">
        <v>30</v>
      </c>
      <c r="R147">
        <v>0</v>
      </c>
    </row>
    <row r="148" spans="1:18">
      <c r="A148" t="s">
        <v>488</v>
      </c>
      <c r="B148" t="s">
        <v>489</v>
      </c>
      <c r="C148" t="s">
        <v>490</v>
      </c>
      <c r="D148" t="s">
        <v>41</v>
      </c>
      <c r="E148" t="s">
        <v>22</v>
      </c>
      <c r="F148" t="s">
        <v>35</v>
      </c>
      <c r="G148" s="13">
        <v>45725</v>
      </c>
      <c r="H148">
        <v>64</v>
      </c>
      <c r="I148">
        <v>0</v>
      </c>
      <c r="J148" t="s">
        <v>36</v>
      </c>
      <c r="K148" t="s">
        <v>45</v>
      </c>
      <c r="L148" t="s">
        <v>37</v>
      </c>
      <c r="M148">
        <v>33</v>
      </c>
      <c r="N148" t="s">
        <v>27</v>
      </c>
      <c r="O148" t="s">
        <v>478</v>
      </c>
      <c r="P148" t="s">
        <v>29</v>
      </c>
      <c r="Q148" t="s">
        <v>27</v>
      </c>
      <c r="R148">
        <v>0</v>
      </c>
    </row>
    <row r="149" spans="1:18">
      <c r="A149" t="s">
        <v>491</v>
      </c>
      <c r="B149" t="s">
        <v>492</v>
      </c>
      <c r="C149" t="s">
        <v>493</v>
      </c>
      <c r="D149" t="s">
        <v>49</v>
      </c>
      <c r="E149" t="s">
        <v>34</v>
      </c>
      <c r="F149" t="s">
        <v>43</v>
      </c>
      <c r="G149" s="13">
        <v>45741</v>
      </c>
      <c r="H149">
        <v>96</v>
      </c>
      <c r="I149">
        <v>0</v>
      </c>
      <c r="J149" t="s">
        <v>36</v>
      </c>
      <c r="K149" t="s">
        <v>25</v>
      </c>
      <c r="L149" t="s">
        <v>26</v>
      </c>
      <c r="M149">
        <v>17</v>
      </c>
      <c r="N149" t="s">
        <v>27</v>
      </c>
      <c r="O149" t="s">
        <v>478</v>
      </c>
      <c r="P149" t="s">
        <v>29</v>
      </c>
      <c r="Q149" t="s">
        <v>27</v>
      </c>
      <c r="R149">
        <v>0</v>
      </c>
    </row>
    <row r="150" spans="1:18">
      <c r="A150" t="s">
        <v>494</v>
      </c>
      <c r="B150" t="s">
        <v>495</v>
      </c>
      <c r="C150" t="s">
        <v>496</v>
      </c>
      <c r="D150" t="s">
        <v>21</v>
      </c>
      <c r="E150" t="s">
        <v>22</v>
      </c>
      <c r="F150" t="s">
        <v>43</v>
      </c>
      <c r="G150" s="13">
        <v>45717</v>
      </c>
      <c r="H150">
        <v>149</v>
      </c>
      <c r="I150">
        <v>5.05</v>
      </c>
      <c r="J150" t="s">
        <v>24</v>
      </c>
      <c r="K150" t="s">
        <v>25</v>
      </c>
      <c r="L150" t="s">
        <v>26</v>
      </c>
      <c r="M150">
        <v>44</v>
      </c>
      <c r="N150" t="s">
        <v>27</v>
      </c>
      <c r="O150" t="s">
        <v>478</v>
      </c>
      <c r="P150" t="s">
        <v>29</v>
      </c>
      <c r="Q150" t="s">
        <v>30</v>
      </c>
      <c r="R150">
        <v>0</v>
      </c>
    </row>
    <row r="151" spans="1:18">
      <c r="A151" t="s">
        <v>497</v>
      </c>
      <c r="B151" t="s">
        <v>498</v>
      </c>
      <c r="C151" t="s">
        <v>499</v>
      </c>
      <c r="D151" t="s">
        <v>62</v>
      </c>
      <c r="E151" t="s">
        <v>34</v>
      </c>
      <c r="F151" t="s">
        <v>80</v>
      </c>
      <c r="G151" s="13">
        <v>45729</v>
      </c>
      <c r="H151">
        <v>140</v>
      </c>
      <c r="I151">
        <v>0</v>
      </c>
      <c r="J151" t="s">
        <v>36</v>
      </c>
      <c r="K151" t="s">
        <v>25</v>
      </c>
      <c r="L151" t="s">
        <v>37</v>
      </c>
      <c r="M151">
        <v>26</v>
      </c>
      <c r="N151" t="s">
        <v>27</v>
      </c>
      <c r="O151" t="s">
        <v>478</v>
      </c>
      <c r="P151" t="s">
        <v>29</v>
      </c>
      <c r="Q151" t="s">
        <v>27</v>
      </c>
      <c r="R151">
        <v>0</v>
      </c>
    </row>
    <row r="152" spans="1:18">
      <c r="A152" t="s">
        <v>500</v>
      </c>
      <c r="B152" t="s">
        <v>501</v>
      </c>
      <c r="C152" t="s">
        <v>502</v>
      </c>
      <c r="D152" t="s">
        <v>41</v>
      </c>
      <c r="E152" t="s">
        <v>34</v>
      </c>
      <c r="F152" t="s">
        <v>58</v>
      </c>
      <c r="G152" s="13">
        <v>45721</v>
      </c>
      <c r="H152">
        <v>149</v>
      </c>
      <c r="I152">
        <v>0</v>
      </c>
      <c r="J152" t="s">
        <v>36</v>
      </c>
      <c r="K152" t="s">
        <v>25</v>
      </c>
      <c r="L152" t="s">
        <v>37</v>
      </c>
      <c r="M152">
        <v>48</v>
      </c>
      <c r="N152" t="s">
        <v>27</v>
      </c>
      <c r="O152" t="s">
        <v>478</v>
      </c>
      <c r="P152" t="s">
        <v>29</v>
      </c>
      <c r="Q152" t="s">
        <v>27</v>
      </c>
      <c r="R152">
        <v>0</v>
      </c>
    </row>
    <row r="153" spans="1:18">
      <c r="A153" t="s">
        <v>503</v>
      </c>
      <c r="B153" t="s">
        <v>504</v>
      </c>
      <c r="C153" t="s">
        <v>505</v>
      </c>
      <c r="D153" t="s">
        <v>57</v>
      </c>
      <c r="E153" t="s">
        <v>34</v>
      </c>
      <c r="F153" t="s">
        <v>73</v>
      </c>
      <c r="G153" s="13">
        <v>45727</v>
      </c>
      <c r="H153">
        <v>136</v>
      </c>
      <c r="I153">
        <v>0</v>
      </c>
      <c r="J153" t="s">
        <v>36</v>
      </c>
      <c r="K153" t="s">
        <v>25</v>
      </c>
      <c r="L153" t="s">
        <v>37</v>
      </c>
      <c r="M153">
        <v>11</v>
      </c>
      <c r="N153" t="s">
        <v>27</v>
      </c>
      <c r="O153" t="s">
        <v>478</v>
      </c>
      <c r="P153" t="s">
        <v>29</v>
      </c>
      <c r="Q153" t="s">
        <v>27</v>
      </c>
      <c r="R153">
        <v>0</v>
      </c>
    </row>
    <row r="154" spans="1:18">
      <c r="A154" t="s">
        <v>506</v>
      </c>
      <c r="B154" t="s">
        <v>507</v>
      </c>
      <c r="C154" t="s">
        <v>508</v>
      </c>
      <c r="D154" t="s">
        <v>49</v>
      </c>
      <c r="E154" t="s">
        <v>22</v>
      </c>
      <c r="F154" t="s">
        <v>43</v>
      </c>
      <c r="G154" s="13">
        <v>45725</v>
      </c>
      <c r="H154">
        <v>172</v>
      </c>
      <c r="I154">
        <v>0</v>
      </c>
      <c r="J154" t="s">
        <v>36</v>
      </c>
      <c r="K154" t="s">
        <v>25</v>
      </c>
      <c r="L154" t="s">
        <v>37</v>
      </c>
      <c r="M154">
        <v>15</v>
      </c>
      <c r="N154" t="s">
        <v>30</v>
      </c>
      <c r="O154" t="s">
        <v>478</v>
      </c>
      <c r="P154" t="s">
        <v>29</v>
      </c>
      <c r="Q154" t="s">
        <v>27</v>
      </c>
      <c r="R154">
        <v>1</v>
      </c>
    </row>
    <row r="155" spans="1:18">
      <c r="A155" t="s">
        <v>509</v>
      </c>
      <c r="B155" t="s">
        <v>510</v>
      </c>
      <c r="C155" t="s">
        <v>511</v>
      </c>
      <c r="D155" t="s">
        <v>62</v>
      </c>
      <c r="E155" t="s">
        <v>22</v>
      </c>
      <c r="F155" t="s">
        <v>73</v>
      </c>
      <c r="G155" s="13">
        <v>45739</v>
      </c>
      <c r="H155">
        <v>153</v>
      </c>
      <c r="I155">
        <v>0</v>
      </c>
      <c r="J155" t="s">
        <v>36</v>
      </c>
      <c r="K155" t="s">
        <v>25</v>
      </c>
      <c r="L155" t="s">
        <v>26</v>
      </c>
      <c r="M155">
        <v>44</v>
      </c>
      <c r="N155" t="s">
        <v>30</v>
      </c>
      <c r="O155" t="s">
        <v>478</v>
      </c>
      <c r="P155" t="s">
        <v>29</v>
      </c>
      <c r="Q155" t="s">
        <v>27</v>
      </c>
      <c r="R155">
        <v>1</v>
      </c>
    </row>
    <row r="156" spans="1:18">
      <c r="A156" t="s">
        <v>512</v>
      </c>
      <c r="B156" t="s">
        <v>513</v>
      </c>
      <c r="C156" t="s">
        <v>514</v>
      </c>
      <c r="D156" t="s">
        <v>62</v>
      </c>
      <c r="E156" t="s">
        <v>34</v>
      </c>
      <c r="F156" t="s">
        <v>58</v>
      </c>
      <c r="G156" s="13">
        <v>45743</v>
      </c>
      <c r="H156">
        <v>112</v>
      </c>
      <c r="I156">
        <v>0</v>
      </c>
      <c r="J156" t="s">
        <v>36</v>
      </c>
      <c r="K156" t="s">
        <v>25</v>
      </c>
      <c r="L156" t="s">
        <v>37</v>
      </c>
      <c r="M156">
        <v>21</v>
      </c>
      <c r="N156" t="s">
        <v>27</v>
      </c>
      <c r="O156" t="s">
        <v>478</v>
      </c>
      <c r="P156" t="s">
        <v>29</v>
      </c>
      <c r="Q156" t="s">
        <v>27</v>
      </c>
      <c r="R156">
        <v>0</v>
      </c>
    </row>
    <row r="157" spans="1:18">
      <c r="A157" t="s">
        <v>515</v>
      </c>
      <c r="B157" t="s">
        <v>516</v>
      </c>
      <c r="C157" t="s">
        <v>517</v>
      </c>
      <c r="D157" t="s">
        <v>21</v>
      </c>
      <c r="E157" t="s">
        <v>34</v>
      </c>
      <c r="F157" t="s">
        <v>80</v>
      </c>
      <c r="G157" s="13">
        <v>45739</v>
      </c>
      <c r="H157">
        <v>144</v>
      </c>
      <c r="I157">
        <v>0</v>
      </c>
      <c r="J157" t="s">
        <v>36</v>
      </c>
      <c r="K157" t="s">
        <v>25</v>
      </c>
      <c r="L157" t="s">
        <v>37</v>
      </c>
      <c r="M157">
        <v>35</v>
      </c>
      <c r="N157" t="s">
        <v>27</v>
      </c>
      <c r="O157" t="s">
        <v>478</v>
      </c>
      <c r="P157" t="s">
        <v>29</v>
      </c>
      <c r="Q157" t="s">
        <v>27</v>
      </c>
      <c r="R157">
        <v>0</v>
      </c>
    </row>
    <row r="158" spans="1:18">
      <c r="A158" t="s">
        <v>518</v>
      </c>
      <c r="B158" t="s">
        <v>250</v>
      </c>
      <c r="C158" t="s">
        <v>519</v>
      </c>
      <c r="D158" t="s">
        <v>57</v>
      </c>
      <c r="E158" t="s">
        <v>42</v>
      </c>
      <c r="F158" t="s">
        <v>80</v>
      </c>
      <c r="G158" s="13">
        <v>45735</v>
      </c>
      <c r="H158">
        <v>132</v>
      </c>
      <c r="I158">
        <v>28.89</v>
      </c>
      <c r="J158" t="s">
        <v>44</v>
      </c>
      <c r="K158" t="s">
        <v>25</v>
      </c>
      <c r="L158" t="s">
        <v>26</v>
      </c>
      <c r="M158">
        <v>26</v>
      </c>
      <c r="N158" t="s">
        <v>27</v>
      </c>
      <c r="O158" t="s">
        <v>478</v>
      </c>
      <c r="P158" t="s">
        <v>29</v>
      </c>
      <c r="Q158" t="s">
        <v>30</v>
      </c>
      <c r="R158">
        <v>0</v>
      </c>
    </row>
    <row r="159" spans="1:18">
      <c r="A159" t="s">
        <v>520</v>
      </c>
      <c r="B159" t="s">
        <v>521</v>
      </c>
      <c r="C159" t="s">
        <v>522</v>
      </c>
      <c r="D159" t="s">
        <v>21</v>
      </c>
      <c r="E159" t="s">
        <v>22</v>
      </c>
      <c r="F159" t="s">
        <v>35</v>
      </c>
      <c r="G159" s="13">
        <v>45724</v>
      </c>
      <c r="H159">
        <v>63</v>
      </c>
      <c r="I159">
        <v>0</v>
      </c>
      <c r="J159" t="s">
        <v>36</v>
      </c>
      <c r="K159" t="s">
        <v>25</v>
      </c>
      <c r="L159" t="s">
        <v>37</v>
      </c>
      <c r="M159">
        <v>25</v>
      </c>
      <c r="N159" t="s">
        <v>27</v>
      </c>
      <c r="O159" t="s">
        <v>478</v>
      </c>
      <c r="P159" t="s">
        <v>29</v>
      </c>
      <c r="Q159" t="s">
        <v>27</v>
      </c>
      <c r="R159">
        <v>0</v>
      </c>
    </row>
    <row r="160" spans="1:18">
      <c r="A160" t="s">
        <v>523</v>
      </c>
      <c r="B160" t="s">
        <v>524</v>
      </c>
      <c r="C160" t="s">
        <v>525</v>
      </c>
      <c r="D160" t="s">
        <v>57</v>
      </c>
      <c r="E160" t="s">
        <v>42</v>
      </c>
      <c r="F160" t="s">
        <v>80</v>
      </c>
      <c r="G160" s="13">
        <v>45719</v>
      </c>
      <c r="H160">
        <v>100</v>
      </c>
      <c r="I160">
        <v>0</v>
      </c>
      <c r="J160" t="s">
        <v>36</v>
      </c>
      <c r="K160" t="s">
        <v>25</v>
      </c>
      <c r="L160" t="s">
        <v>37</v>
      </c>
      <c r="M160">
        <v>50</v>
      </c>
      <c r="N160" t="s">
        <v>27</v>
      </c>
      <c r="O160" t="s">
        <v>478</v>
      </c>
      <c r="P160" t="s">
        <v>29</v>
      </c>
      <c r="Q160" t="s">
        <v>27</v>
      </c>
      <c r="R160">
        <v>0</v>
      </c>
    </row>
    <row r="161" spans="1:18">
      <c r="A161" t="s">
        <v>526</v>
      </c>
      <c r="B161" t="s">
        <v>527</v>
      </c>
      <c r="C161" t="s">
        <v>528</v>
      </c>
      <c r="D161" t="s">
        <v>62</v>
      </c>
      <c r="E161" t="s">
        <v>42</v>
      </c>
      <c r="F161" t="s">
        <v>43</v>
      </c>
      <c r="G161" s="13">
        <v>45731</v>
      </c>
      <c r="H161">
        <v>143</v>
      </c>
      <c r="I161">
        <v>0</v>
      </c>
      <c r="J161" t="s">
        <v>36</v>
      </c>
      <c r="K161" t="s">
        <v>66</v>
      </c>
      <c r="L161" t="s">
        <v>37</v>
      </c>
      <c r="M161">
        <v>10</v>
      </c>
      <c r="N161" t="s">
        <v>27</v>
      </c>
      <c r="O161" t="s">
        <v>478</v>
      </c>
      <c r="P161" t="s">
        <v>29</v>
      </c>
      <c r="Q161" t="s">
        <v>27</v>
      </c>
      <c r="R161">
        <v>0</v>
      </c>
    </row>
    <row r="162" spans="1:18">
      <c r="A162" t="s">
        <v>529</v>
      </c>
      <c r="B162" t="s">
        <v>530</v>
      </c>
      <c r="C162" t="s">
        <v>531</v>
      </c>
      <c r="D162" t="s">
        <v>49</v>
      </c>
      <c r="E162" t="s">
        <v>42</v>
      </c>
      <c r="F162" t="s">
        <v>35</v>
      </c>
      <c r="G162" s="13">
        <v>45738</v>
      </c>
      <c r="H162">
        <v>173</v>
      </c>
      <c r="I162">
        <v>0</v>
      </c>
      <c r="J162" t="s">
        <v>36</v>
      </c>
      <c r="K162" t="s">
        <v>25</v>
      </c>
      <c r="L162" t="s">
        <v>37</v>
      </c>
      <c r="M162">
        <v>37</v>
      </c>
      <c r="N162" t="s">
        <v>30</v>
      </c>
      <c r="O162" t="s">
        <v>478</v>
      </c>
      <c r="P162" t="s">
        <v>29</v>
      </c>
      <c r="Q162" t="s">
        <v>27</v>
      </c>
      <c r="R162">
        <v>1</v>
      </c>
    </row>
    <row r="163" spans="1:18">
      <c r="A163" t="s">
        <v>532</v>
      </c>
      <c r="B163" t="s">
        <v>480</v>
      </c>
      <c r="C163" t="s">
        <v>533</v>
      </c>
      <c r="D163" t="s">
        <v>49</v>
      </c>
      <c r="E163" t="s">
        <v>42</v>
      </c>
      <c r="F163" t="s">
        <v>73</v>
      </c>
      <c r="G163" s="13">
        <v>45747</v>
      </c>
      <c r="H163">
        <v>153</v>
      </c>
      <c r="I163">
        <v>0</v>
      </c>
      <c r="J163" t="s">
        <v>36</v>
      </c>
      <c r="K163" t="s">
        <v>45</v>
      </c>
      <c r="L163" t="s">
        <v>37</v>
      </c>
      <c r="M163">
        <v>25</v>
      </c>
      <c r="N163" t="s">
        <v>30</v>
      </c>
      <c r="O163" t="s">
        <v>478</v>
      </c>
      <c r="P163" t="s">
        <v>29</v>
      </c>
      <c r="Q163" t="s">
        <v>27</v>
      </c>
      <c r="R163">
        <v>1</v>
      </c>
    </row>
    <row r="164" spans="1:18">
      <c r="A164" t="s">
        <v>534</v>
      </c>
      <c r="B164" t="s">
        <v>535</v>
      </c>
      <c r="C164" t="s">
        <v>536</v>
      </c>
      <c r="D164" t="s">
        <v>49</v>
      </c>
      <c r="E164" t="s">
        <v>22</v>
      </c>
      <c r="F164" t="s">
        <v>80</v>
      </c>
      <c r="G164" s="13">
        <v>45739</v>
      </c>
      <c r="H164">
        <v>80</v>
      </c>
      <c r="I164">
        <v>0</v>
      </c>
      <c r="J164" t="s">
        <v>36</v>
      </c>
      <c r="K164" t="s">
        <v>53</v>
      </c>
      <c r="L164" t="s">
        <v>37</v>
      </c>
      <c r="M164">
        <v>3</v>
      </c>
      <c r="N164" t="s">
        <v>27</v>
      </c>
      <c r="O164" t="s">
        <v>478</v>
      </c>
      <c r="P164" t="s">
        <v>29</v>
      </c>
      <c r="Q164" t="s">
        <v>27</v>
      </c>
      <c r="R164">
        <v>0</v>
      </c>
    </row>
    <row r="165" spans="1:18">
      <c r="A165" t="s">
        <v>537</v>
      </c>
      <c r="B165" t="s">
        <v>538</v>
      </c>
      <c r="C165" t="s">
        <v>539</v>
      </c>
      <c r="D165" t="s">
        <v>57</v>
      </c>
      <c r="E165" t="s">
        <v>22</v>
      </c>
      <c r="F165" t="s">
        <v>73</v>
      </c>
      <c r="G165" s="13">
        <v>45721</v>
      </c>
      <c r="H165">
        <v>118</v>
      </c>
      <c r="I165">
        <v>46.55</v>
      </c>
      <c r="J165" t="s">
        <v>44</v>
      </c>
      <c r="K165" t="s">
        <v>25</v>
      </c>
      <c r="L165" t="s">
        <v>26</v>
      </c>
      <c r="M165">
        <v>45</v>
      </c>
      <c r="N165" t="s">
        <v>30</v>
      </c>
      <c r="O165" t="s">
        <v>478</v>
      </c>
      <c r="P165" t="s">
        <v>29</v>
      </c>
      <c r="Q165" t="s">
        <v>30</v>
      </c>
      <c r="R165">
        <v>1</v>
      </c>
    </row>
    <row r="166" spans="1:18">
      <c r="A166" t="s">
        <v>540</v>
      </c>
      <c r="B166" t="s">
        <v>541</v>
      </c>
      <c r="C166" t="s">
        <v>542</v>
      </c>
      <c r="D166" t="s">
        <v>57</v>
      </c>
      <c r="E166" t="s">
        <v>34</v>
      </c>
      <c r="F166" t="s">
        <v>35</v>
      </c>
      <c r="G166" s="13">
        <v>45738</v>
      </c>
      <c r="H166">
        <v>139</v>
      </c>
      <c r="I166">
        <v>0</v>
      </c>
      <c r="J166" t="s">
        <v>36</v>
      </c>
      <c r="K166" t="s">
        <v>25</v>
      </c>
      <c r="L166" t="s">
        <v>37</v>
      </c>
      <c r="M166">
        <v>26</v>
      </c>
      <c r="N166" t="s">
        <v>27</v>
      </c>
      <c r="O166" t="s">
        <v>478</v>
      </c>
      <c r="P166" t="s">
        <v>29</v>
      </c>
      <c r="Q166" t="s">
        <v>27</v>
      </c>
      <c r="R166">
        <v>0</v>
      </c>
    </row>
    <row r="167" spans="1:18">
      <c r="A167" t="s">
        <v>543</v>
      </c>
      <c r="B167" t="s">
        <v>265</v>
      </c>
      <c r="C167" t="s">
        <v>544</v>
      </c>
      <c r="D167" t="s">
        <v>62</v>
      </c>
      <c r="E167" t="s">
        <v>34</v>
      </c>
      <c r="F167" t="s">
        <v>43</v>
      </c>
      <c r="G167" s="13">
        <v>45725</v>
      </c>
      <c r="H167">
        <v>82</v>
      </c>
      <c r="I167">
        <v>0</v>
      </c>
      <c r="J167" t="s">
        <v>36</v>
      </c>
      <c r="K167" t="s">
        <v>66</v>
      </c>
      <c r="L167" t="s">
        <v>37</v>
      </c>
      <c r="M167">
        <v>17</v>
      </c>
      <c r="N167" t="s">
        <v>27</v>
      </c>
      <c r="O167" t="s">
        <v>478</v>
      </c>
      <c r="P167" t="s">
        <v>29</v>
      </c>
      <c r="Q167" t="s">
        <v>27</v>
      </c>
      <c r="R167">
        <v>0</v>
      </c>
    </row>
    <row r="168" spans="1:18">
      <c r="A168" t="s">
        <v>545</v>
      </c>
      <c r="B168" t="s">
        <v>546</v>
      </c>
      <c r="C168" t="s">
        <v>547</v>
      </c>
      <c r="D168" t="s">
        <v>21</v>
      </c>
      <c r="E168" t="s">
        <v>34</v>
      </c>
      <c r="F168" t="s">
        <v>80</v>
      </c>
      <c r="G168" s="13">
        <v>45743</v>
      </c>
      <c r="H168">
        <v>90</v>
      </c>
      <c r="I168">
        <v>33.43</v>
      </c>
      <c r="J168" t="s">
        <v>24</v>
      </c>
      <c r="K168" t="s">
        <v>66</v>
      </c>
      <c r="L168" t="s">
        <v>26</v>
      </c>
      <c r="M168">
        <v>50</v>
      </c>
      <c r="N168" t="s">
        <v>27</v>
      </c>
      <c r="O168" t="s">
        <v>478</v>
      </c>
      <c r="P168" t="s">
        <v>29</v>
      </c>
      <c r="Q168" t="s">
        <v>30</v>
      </c>
      <c r="R168">
        <v>0</v>
      </c>
    </row>
    <row r="169" spans="1:18">
      <c r="A169" t="s">
        <v>548</v>
      </c>
      <c r="B169" t="s">
        <v>549</v>
      </c>
      <c r="C169" t="s">
        <v>550</v>
      </c>
      <c r="D169" t="s">
        <v>62</v>
      </c>
      <c r="E169" t="s">
        <v>22</v>
      </c>
      <c r="F169" t="s">
        <v>35</v>
      </c>
      <c r="G169" s="13">
        <v>45739</v>
      </c>
      <c r="H169">
        <v>88</v>
      </c>
      <c r="I169">
        <v>0</v>
      </c>
      <c r="J169" t="s">
        <v>36</v>
      </c>
      <c r="K169" t="s">
        <v>25</v>
      </c>
      <c r="L169" t="s">
        <v>37</v>
      </c>
      <c r="M169">
        <v>2</v>
      </c>
      <c r="N169" t="s">
        <v>27</v>
      </c>
      <c r="O169" t="s">
        <v>478</v>
      </c>
      <c r="P169" t="s">
        <v>29</v>
      </c>
      <c r="Q169" t="s">
        <v>27</v>
      </c>
      <c r="R169">
        <v>0</v>
      </c>
    </row>
    <row r="170" spans="1:18">
      <c r="A170" t="s">
        <v>551</v>
      </c>
      <c r="B170" t="s">
        <v>552</v>
      </c>
      <c r="C170" t="s">
        <v>553</v>
      </c>
      <c r="D170" t="s">
        <v>41</v>
      </c>
      <c r="E170" t="s">
        <v>22</v>
      </c>
      <c r="F170" t="s">
        <v>80</v>
      </c>
      <c r="G170" s="13">
        <v>45733</v>
      </c>
      <c r="H170">
        <v>167</v>
      </c>
      <c r="I170">
        <v>0</v>
      </c>
      <c r="J170" t="s">
        <v>36</v>
      </c>
      <c r="K170" t="s">
        <v>66</v>
      </c>
      <c r="L170" t="s">
        <v>26</v>
      </c>
      <c r="M170">
        <v>28</v>
      </c>
      <c r="N170" t="s">
        <v>30</v>
      </c>
      <c r="O170" t="s">
        <v>478</v>
      </c>
      <c r="P170" t="s">
        <v>29</v>
      </c>
      <c r="Q170" t="s">
        <v>27</v>
      </c>
      <c r="R170">
        <v>1</v>
      </c>
    </row>
    <row r="171" spans="1:18">
      <c r="A171" t="s">
        <v>554</v>
      </c>
      <c r="B171" t="s">
        <v>555</v>
      </c>
      <c r="C171" t="s">
        <v>556</v>
      </c>
      <c r="D171" t="s">
        <v>57</v>
      </c>
      <c r="E171" t="s">
        <v>42</v>
      </c>
      <c r="F171" t="s">
        <v>23</v>
      </c>
      <c r="G171" s="13">
        <v>45738</v>
      </c>
      <c r="H171">
        <v>141</v>
      </c>
      <c r="I171">
        <v>0</v>
      </c>
      <c r="J171" t="s">
        <v>36</v>
      </c>
      <c r="K171" t="s">
        <v>25</v>
      </c>
      <c r="L171" t="s">
        <v>37</v>
      </c>
      <c r="M171">
        <v>17</v>
      </c>
      <c r="N171" t="s">
        <v>27</v>
      </c>
      <c r="O171" t="s">
        <v>478</v>
      </c>
      <c r="P171" t="s">
        <v>29</v>
      </c>
      <c r="Q171" t="s">
        <v>27</v>
      </c>
      <c r="R171">
        <v>0</v>
      </c>
    </row>
    <row r="172" spans="1:18">
      <c r="A172" t="s">
        <v>557</v>
      </c>
      <c r="B172" t="s">
        <v>558</v>
      </c>
      <c r="C172" t="s">
        <v>559</v>
      </c>
      <c r="D172" t="s">
        <v>49</v>
      </c>
      <c r="E172" t="s">
        <v>42</v>
      </c>
      <c r="F172" t="s">
        <v>23</v>
      </c>
      <c r="G172" s="13">
        <v>45720</v>
      </c>
      <c r="H172">
        <v>154</v>
      </c>
      <c r="I172">
        <v>0</v>
      </c>
      <c r="J172" t="s">
        <v>36</v>
      </c>
      <c r="K172" t="s">
        <v>25</v>
      </c>
      <c r="L172" t="s">
        <v>37</v>
      </c>
      <c r="M172">
        <v>26</v>
      </c>
      <c r="N172" t="s">
        <v>30</v>
      </c>
      <c r="O172" t="s">
        <v>478</v>
      </c>
      <c r="P172" t="s">
        <v>29</v>
      </c>
      <c r="Q172" t="s">
        <v>27</v>
      </c>
      <c r="R172">
        <v>1</v>
      </c>
    </row>
    <row r="173" spans="1:18">
      <c r="A173" t="s">
        <v>560</v>
      </c>
      <c r="B173" t="s">
        <v>561</v>
      </c>
      <c r="C173" t="s">
        <v>562</v>
      </c>
      <c r="D173" t="s">
        <v>41</v>
      </c>
      <c r="E173" t="s">
        <v>22</v>
      </c>
      <c r="F173" t="s">
        <v>43</v>
      </c>
      <c r="G173" s="13">
        <v>45722</v>
      </c>
      <c r="H173">
        <v>144</v>
      </c>
      <c r="I173">
        <v>0</v>
      </c>
      <c r="J173" t="s">
        <v>36</v>
      </c>
      <c r="K173" t="s">
        <v>66</v>
      </c>
      <c r="L173" t="s">
        <v>37</v>
      </c>
      <c r="M173">
        <v>9</v>
      </c>
      <c r="N173" t="s">
        <v>27</v>
      </c>
      <c r="O173" t="s">
        <v>478</v>
      </c>
      <c r="P173" t="s">
        <v>29</v>
      </c>
      <c r="Q173" t="s">
        <v>27</v>
      </c>
      <c r="R173">
        <v>0</v>
      </c>
    </row>
    <row r="174" spans="1:18">
      <c r="A174" t="s">
        <v>563</v>
      </c>
      <c r="B174" t="s">
        <v>564</v>
      </c>
      <c r="C174" t="s">
        <v>565</v>
      </c>
      <c r="D174" t="s">
        <v>49</v>
      </c>
      <c r="E174" t="s">
        <v>42</v>
      </c>
      <c r="F174" t="s">
        <v>80</v>
      </c>
      <c r="G174" s="13">
        <v>45717</v>
      </c>
      <c r="H174">
        <v>136</v>
      </c>
      <c r="I174">
        <v>0</v>
      </c>
      <c r="J174" t="s">
        <v>36</v>
      </c>
      <c r="K174" t="s">
        <v>25</v>
      </c>
      <c r="L174" t="s">
        <v>37</v>
      </c>
      <c r="M174">
        <v>50</v>
      </c>
      <c r="N174" t="s">
        <v>27</v>
      </c>
      <c r="O174" t="s">
        <v>478</v>
      </c>
      <c r="P174" t="s">
        <v>29</v>
      </c>
      <c r="Q174" t="s">
        <v>27</v>
      </c>
      <c r="R174">
        <v>0</v>
      </c>
    </row>
    <row r="175" spans="1:18">
      <c r="A175" t="s">
        <v>566</v>
      </c>
      <c r="B175" t="s">
        <v>567</v>
      </c>
      <c r="C175" t="s">
        <v>568</v>
      </c>
      <c r="D175" t="s">
        <v>21</v>
      </c>
      <c r="E175" t="s">
        <v>22</v>
      </c>
      <c r="F175" t="s">
        <v>43</v>
      </c>
      <c r="G175" s="13">
        <v>45731</v>
      </c>
      <c r="H175">
        <v>127</v>
      </c>
      <c r="I175">
        <v>0</v>
      </c>
      <c r="J175" t="s">
        <v>36</v>
      </c>
      <c r="K175" t="s">
        <v>25</v>
      </c>
      <c r="L175" t="s">
        <v>37</v>
      </c>
      <c r="M175">
        <v>13</v>
      </c>
      <c r="N175" t="s">
        <v>27</v>
      </c>
      <c r="O175" t="s">
        <v>478</v>
      </c>
      <c r="P175" t="s">
        <v>29</v>
      </c>
      <c r="Q175" t="s">
        <v>27</v>
      </c>
      <c r="R175">
        <v>0</v>
      </c>
    </row>
    <row r="176" spans="1:18">
      <c r="A176" t="s">
        <v>569</v>
      </c>
      <c r="B176" t="s">
        <v>570</v>
      </c>
      <c r="C176" t="s">
        <v>571</v>
      </c>
      <c r="D176" t="s">
        <v>62</v>
      </c>
      <c r="E176" t="s">
        <v>34</v>
      </c>
      <c r="F176" t="s">
        <v>58</v>
      </c>
      <c r="G176" s="13">
        <v>45721</v>
      </c>
      <c r="H176">
        <v>91</v>
      </c>
      <c r="I176">
        <v>45.51</v>
      </c>
      <c r="J176" t="s">
        <v>129</v>
      </c>
      <c r="K176" t="s">
        <v>25</v>
      </c>
      <c r="L176" t="s">
        <v>26</v>
      </c>
      <c r="M176">
        <v>8</v>
      </c>
      <c r="N176" t="s">
        <v>30</v>
      </c>
      <c r="O176" t="s">
        <v>478</v>
      </c>
      <c r="P176" t="s">
        <v>29</v>
      </c>
      <c r="Q176" t="s">
        <v>30</v>
      </c>
      <c r="R176">
        <v>1</v>
      </c>
    </row>
    <row r="177" spans="1:18">
      <c r="A177" t="s">
        <v>572</v>
      </c>
      <c r="B177" t="s">
        <v>573</v>
      </c>
      <c r="C177" t="s">
        <v>574</v>
      </c>
      <c r="D177" t="s">
        <v>21</v>
      </c>
      <c r="E177" t="s">
        <v>34</v>
      </c>
      <c r="F177" t="s">
        <v>58</v>
      </c>
      <c r="G177" s="13">
        <v>45738</v>
      </c>
      <c r="H177">
        <v>71</v>
      </c>
      <c r="I177">
        <v>0</v>
      </c>
      <c r="J177" t="s">
        <v>36</v>
      </c>
      <c r="K177" t="s">
        <v>25</v>
      </c>
      <c r="L177" t="s">
        <v>37</v>
      </c>
      <c r="M177">
        <v>38</v>
      </c>
      <c r="N177" t="s">
        <v>27</v>
      </c>
      <c r="O177" t="s">
        <v>478</v>
      </c>
      <c r="P177" t="s">
        <v>29</v>
      </c>
      <c r="Q177" t="s">
        <v>27</v>
      </c>
      <c r="R177">
        <v>0</v>
      </c>
    </row>
    <row r="178" spans="1:18">
      <c r="A178" t="s">
        <v>575</v>
      </c>
      <c r="B178" t="s">
        <v>576</v>
      </c>
      <c r="C178" t="s">
        <v>577</v>
      </c>
      <c r="D178" t="s">
        <v>21</v>
      </c>
      <c r="E178" t="s">
        <v>22</v>
      </c>
      <c r="F178" t="s">
        <v>58</v>
      </c>
      <c r="G178" s="13">
        <v>45735</v>
      </c>
      <c r="H178">
        <v>63</v>
      </c>
      <c r="I178">
        <v>0</v>
      </c>
      <c r="J178" t="s">
        <v>36</v>
      </c>
      <c r="K178" t="s">
        <v>25</v>
      </c>
      <c r="L178" t="s">
        <v>37</v>
      </c>
      <c r="M178">
        <v>49</v>
      </c>
      <c r="N178" t="s">
        <v>27</v>
      </c>
      <c r="O178" t="s">
        <v>478</v>
      </c>
      <c r="P178" t="s">
        <v>29</v>
      </c>
      <c r="Q178" t="s">
        <v>27</v>
      </c>
      <c r="R178">
        <v>0</v>
      </c>
    </row>
    <row r="179" spans="1:18">
      <c r="A179" t="s">
        <v>578</v>
      </c>
      <c r="B179" t="s">
        <v>579</v>
      </c>
      <c r="C179" t="s">
        <v>580</v>
      </c>
      <c r="D179" t="s">
        <v>21</v>
      </c>
      <c r="E179" t="s">
        <v>42</v>
      </c>
      <c r="F179" t="s">
        <v>58</v>
      </c>
      <c r="G179" s="13">
        <v>45744</v>
      </c>
      <c r="H179">
        <v>175</v>
      </c>
      <c r="I179">
        <v>0</v>
      </c>
      <c r="J179" t="s">
        <v>36</v>
      </c>
      <c r="K179" t="s">
        <v>45</v>
      </c>
      <c r="L179" t="s">
        <v>37</v>
      </c>
      <c r="M179">
        <v>33</v>
      </c>
      <c r="N179" t="s">
        <v>30</v>
      </c>
      <c r="O179" t="s">
        <v>478</v>
      </c>
      <c r="P179" t="s">
        <v>29</v>
      </c>
      <c r="Q179" t="s">
        <v>27</v>
      </c>
      <c r="R179">
        <v>1</v>
      </c>
    </row>
    <row r="180" spans="1:18">
      <c r="A180" t="s">
        <v>581</v>
      </c>
      <c r="B180" t="s">
        <v>582</v>
      </c>
      <c r="C180" t="s">
        <v>583</v>
      </c>
      <c r="D180" t="s">
        <v>62</v>
      </c>
      <c r="E180" t="s">
        <v>22</v>
      </c>
      <c r="F180" t="s">
        <v>23</v>
      </c>
      <c r="G180" s="13">
        <v>45727</v>
      </c>
      <c r="H180">
        <v>160</v>
      </c>
      <c r="I180">
        <v>0</v>
      </c>
      <c r="J180" t="s">
        <v>36</v>
      </c>
      <c r="K180" t="s">
        <v>25</v>
      </c>
      <c r="L180" t="s">
        <v>37</v>
      </c>
      <c r="M180">
        <v>1</v>
      </c>
      <c r="N180" t="s">
        <v>30</v>
      </c>
      <c r="O180" t="s">
        <v>478</v>
      </c>
      <c r="P180" t="s">
        <v>29</v>
      </c>
      <c r="Q180" t="s">
        <v>27</v>
      </c>
      <c r="R180">
        <v>1</v>
      </c>
    </row>
    <row r="181" spans="1:18">
      <c r="A181" t="s">
        <v>584</v>
      </c>
      <c r="B181" t="s">
        <v>585</v>
      </c>
      <c r="C181" t="s">
        <v>586</v>
      </c>
      <c r="D181" t="s">
        <v>57</v>
      </c>
      <c r="E181" t="s">
        <v>22</v>
      </c>
      <c r="F181" t="s">
        <v>23</v>
      </c>
      <c r="G181" s="13">
        <v>45746</v>
      </c>
      <c r="H181">
        <v>69</v>
      </c>
      <c r="I181">
        <v>0</v>
      </c>
      <c r="J181" t="s">
        <v>36</v>
      </c>
      <c r="K181" t="s">
        <v>53</v>
      </c>
      <c r="L181" t="s">
        <v>26</v>
      </c>
      <c r="M181">
        <v>17</v>
      </c>
      <c r="N181" t="s">
        <v>27</v>
      </c>
      <c r="O181" t="s">
        <v>478</v>
      </c>
      <c r="P181" t="s">
        <v>29</v>
      </c>
      <c r="Q181" t="s">
        <v>27</v>
      </c>
      <c r="R181">
        <v>0</v>
      </c>
    </row>
    <row r="182" spans="1:18">
      <c r="A182" t="s">
        <v>587</v>
      </c>
      <c r="B182" t="s">
        <v>588</v>
      </c>
      <c r="C182" t="s">
        <v>589</v>
      </c>
      <c r="D182" t="s">
        <v>49</v>
      </c>
      <c r="E182" t="s">
        <v>34</v>
      </c>
      <c r="F182" t="s">
        <v>80</v>
      </c>
      <c r="G182" s="13">
        <v>45719</v>
      </c>
      <c r="H182">
        <v>178</v>
      </c>
      <c r="I182">
        <v>0</v>
      </c>
      <c r="J182" t="s">
        <v>36</v>
      </c>
      <c r="K182" t="s">
        <v>25</v>
      </c>
      <c r="L182" t="s">
        <v>37</v>
      </c>
      <c r="M182">
        <v>30</v>
      </c>
      <c r="N182" t="s">
        <v>30</v>
      </c>
      <c r="O182" t="s">
        <v>478</v>
      </c>
      <c r="P182" t="s">
        <v>29</v>
      </c>
      <c r="Q182" t="s">
        <v>27</v>
      </c>
      <c r="R182">
        <v>1</v>
      </c>
    </row>
    <row r="183" spans="1:18">
      <c r="A183" t="s">
        <v>590</v>
      </c>
      <c r="B183" t="s">
        <v>591</v>
      </c>
      <c r="C183" t="s">
        <v>592</v>
      </c>
      <c r="D183" t="s">
        <v>49</v>
      </c>
      <c r="E183" t="s">
        <v>34</v>
      </c>
      <c r="F183" t="s">
        <v>35</v>
      </c>
      <c r="G183" s="13">
        <v>45732</v>
      </c>
      <c r="H183">
        <v>161</v>
      </c>
      <c r="I183">
        <v>45.73</v>
      </c>
      <c r="J183" t="s">
        <v>24</v>
      </c>
      <c r="K183" t="s">
        <v>25</v>
      </c>
      <c r="L183" t="s">
        <v>26</v>
      </c>
      <c r="M183">
        <v>4</v>
      </c>
      <c r="N183" t="s">
        <v>30</v>
      </c>
      <c r="O183" t="s">
        <v>478</v>
      </c>
      <c r="P183" t="s">
        <v>29</v>
      </c>
      <c r="Q183" t="s">
        <v>30</v>
      </c>
      <c r="R183">
        <v>1</v>
      </c>
    </row>
    <row r="184" spans="1:18">
      <c r="A184" t="s">
        <v>593</v>
      </c>
      <c r="B184" t="s">
        <v>594</v>
      </c>
      <c r="C184" t="s">
        <v>595</v>
      </c>
      <c r="D184" t="s">
        <v>49</v>
      </c>
      <c r="E184" t="s">
        <v>42</v>
      </c>
      <c r="F184" t="s">
        <v>58</v>
      </c>
      <c r="G184" s="13">
        <v>45719</v>
      </c>
      <c r="H184">
        <v>62</v>
      </c>
      <c r="I184">
        <v>0</v>
      </c>
      <c r="J184" t="s">
        <v>36</v>
      </c>
      <c r="K184" t="s">
        <v>53</v>
      </c>
      <c r="L184" t="s">
        <v>37</v>
      </c>
      <c r="M184">
        <v>19</v>
      </c>
      <c r="N184" t="s">
        <v>27</v>
      </c>
      <c r="O184" t="s">
        <v>478</v>
      </c>
      <c r="P184" t="s">
        <v>29</v>
      </c>
      <c r="Q184" t="s">
        <v>27</v>
      </c>
      <c r="R184">
        <v>0</v>
      </c>
    </row>
    <row r="185" spans="1:18">
      <c r="A185" t="s">
        <v>596</v>
      </c>
      <c r="B185" t="s">
        <v>597</v>
      </c>
      <c r="C185" t="s">
        <v>598</v>
      </c>
      <c r="D185" t="s">
        <v>62</v>
      </c>
      <c r="E185" t="s">
        <v>42</v>
      </c>
      <c r="F185" t="s">
        <v>35</v>
      </c>
      <c r="G185" s="13">
        <v>45734</v>
      </c>
      <c r="H185">
        <v>180</v>
      </c>
      <c r="I185">
        <v>0</v>
      </c>
      <c r="J185" t="s">
        <v>36</v>
      </c>
      <c r="K185" t="s">
        <v>25</v>
      </c>
      <c r="L185" t="s">
        <v>37</v>
      </c>
      <c r="M185">
        <v>18</v>
      </c>
      <c r="N185" t="s">
        <v>30</v>
      </c>
      <c r="O185" t="s">
        <v>478</v>
      </c>
      <c r="P185" t="s">
        <v>29</v>
      </c>
      <c r="Q185" t="s">
        <v>27</v>
      </c>
      <c r="R185">
        <v>1</v>
      </c>
    </row>
    <row r="186" spans="1:18">
      <c r="A186" t="s">
        <v>599</v>
      </c>
      <c r="B186" t="s">
        <v>600</v>
      </c>
      <c r="C186" t="s">
        <v>601</v>
      </c>
      <c r="D186" t="s">
        <v>62</v>
      </c>
      <c r="E186" t="s">
        <v>42</v>
      </c>
      <c r="F186" t="s">
        <v>80</v>
      </c>
      <c r="G186" s="13">
        <v>45727</v>
      </c>
      <c r="H186">
        <v>158</v>
      </c>
      <c r="I186">
        <v>0</v>
      </c>
      <c r="J186" t="s">
        <v>36</v>
      </c>
      <c r="K186" t="s">
        <v>45</v>
      </c>
      <c r="L186" t="s">
        <v>37</v>
      </c>
      <c r="M186">
        <v>22</v>
      </c>
      <c r="N186" t="s">
        <v>30</v>
      </c>
      <c r="O186" t="s">
        <v>478</v>
      </c>
      <c r="P186" t="s">
        <v>29</v>
      </c>
      <c r="Q186" t="s">
        <v>27</v>
      </c>
      <c r="R186">
        <v>1</v>
      </c>
    </row>
    <row r="187" spans="1:18">
      <c r="A187" t="s">
        <v>602</v>
      </c>
      <c r="B187" t="s">
        <v>603</v>
      </c>
      <c r="C187" t="s">
        <v>604</v>
      </c>
      <c r="D187" t="s">
        <v>41</v>
      </c>
      <c r="E187" t="s">
        <v>34</v>
      </c>
      <c r="F187" t="s">
        <v>73</v>
      </c>
      <c r="G187" s="13">
        <v>45747</v>
      </c>
      <c r="H187">
        <v>179</v>
      </c>
      <c r="I187">
        <v>0</v>
      </c>
      <c r="J187" t="s">
        <v>36</v>
      </c>
      <c r="K187" t="s">
        <v>25</v>
      </c>
      <c r="L187" t="s">
        <v>37</v>
      </c>
      <c r="M187">
        <v>5</v>
      </c>
      <c r="N187" t="s">
        <v>30</v>
      </c>
      <c r="O187" t="s">
        <v>478</v>
      </c>
      <c r="P187" t="s">
        <v>29</v>
      </c>
      <c r="Q187" t="s">
        <v>27</v>
      </c>
      <c r="R187">
        <v>1</v>
      </c>
    </row>
    <row r="188" spans="1:18">
      <c r="A188" t="s">
        <v>605</v>
      </c>
      <c r="B188" t="s">
        <v>606</v>
      </c>
      <c r="C188" t="s">
        <v>607</v>
      </c>
      <c r="D188" t="s">
        <v>49</v>
      </c>
      <c r="E188" t="s">
        <v>34</v>
      </c>
      <c r="F188" t="s">
        <v>35</v>
      </c>
      <c r="G188" s="13">
        <v>45747</v>
      </c>
      <c r="H188">
        <v>83</v>
      </c>
      <c r="I188">
        <v>0</v>
      </c>
      <c r="J188" t="s">
        <v>36</v>
      </c>
      <c r="K188" t="s">
        <v>25</v>
      </c>
      <c r="L188" t="s">
        <v>37</v>
      </c>
      <c r="M188">
        <v>1</v>
      </c>
      <c r="N188" t="s">
        <v>27</v>
      </c>
      <c r="O188" t="s">
        <v>478</v>
      </c>
      <c r="P188" t="s">
        <v>29</v>
      </c>
      <c r="Q188" t="s">
        <v>27</v>
      </c>
      <c r="R188">
        <v>0</v>
      </c>
    </row>
    <row r="189" spans="1:18">
      <c r="A189" t="s">
        <v>608</v>
      </c>
      <c r="B189" t="s">
        <v>609</v>
      </c>
      <c r="C189" t="s">
        <v>610</v>
      </c>
      <c r="D189" t="s">
        <v>41</v>
      </c>
      <c r="E189" t="s">
        <v>34</v>
      </c>
      <c r="F189" t="s">
        <v>58</v>
      </c>
      <c r="G189" s="13">
        <v>45727</v>
      </c>
      <c r="H189">
        <v>90</v>
      </c>
      <c r="I189">
        <v>0</v>
      </c>
      <c r="J189" t="s">
        <v>36</v>
      </c>
      <c r="K189" t="s">
        <v>25</v>
      </c>
      <c r="L189" t="s">
        <v>37</v>
      </c>
      <c r="M189">
        <v>50</v>
      </c>
      <c r="N189" t="s">
        <v>27</v>
      </c>
      <c r="O189" t="s">
        <v>478</v>
      </c>
      <c r="P189" t="s">
        <v>29</v>
      </c>
      <c r="Q189" t="s">
        <v>27</v>
      </c>
      <c r="R189">
        <v>0</v>
      </c>
    </row>
    <row r="190" spans="1:18">
      <c r="A190" t="s">
        <v>611</v>
      </c>
      <c r="B190" t="s">
        <v>612</v>
      </c>
      <c r="C190" t="s">
        <v>613</v>
      </c>
      <c r="D190" t="s">
        <v>41</v>
      </c>
      <c r="E190" t="s">
        <v>42</v>
      </c>
      <c r="F190" t="s">
        <v>43</v>
      </c>
      <c r="G190" s="13">
        <v>45759</v>
      </c>
      <c r="H190">
        <v>134</v>
      </c>
      <c r="I190">
        <v>42.57</v>
      </c>
      <c r="J190" t="s">
        <v>44</v>
      </c>
      <c r="K190" t="s">
        <v>66</v>
      </c>
      <c r="L190" t="s">
        <v>26</v>
      </c>
      <c r="M190">
        <v>40</v>
      </c>
      <c r="N190" t="s">
        <v>30</v>
      </c>
      <c r="O190" t="s">
        <v>614</v>
      </c>
      <c r="P190" t="s">
        <v>29</v>
      </c>
      <c r="Q190" t="s">
        <v>30</v>
      </c>
      <c r="R190">
        <v>1</v>
      </c>
    </row>
    <row r="191" spans="1:18">
      <c r="A191" t="s">
        <v>615</v>
      </c>
      <c r="B191" t="s">
        <v>616</v>
      </c>
      <c r="C191" t="s">
        <v>617</v>
      </c>
      <c r="D191" t="s">
        <v>21</v>
      </c>
      <c r="E191" t="s">
        <v>34</v>
      </c>
      <c r="F191" t="s">
        <v>58</v>
      </c>
      <c r="G191" s="13">
        <v>45768</v>
      </c>
      <c r="H191">
        <v>142</v>
      </c>
      <c r="I191">
        <v>0</v>
      </c>
      <c r="J191" t="s">
        <v>36</v>
      </c>
      <c r="K191" t="s">
        <v>25</v>
      </c>
      <c r="L191" t="s">
        <v>37</v>
      </c>
      <c r="M191">
        <v>23</v>
      </c>
      <c r="N191" t="s">
        <v>27</v>
      </c>
      <c r="O191" t="s">
        <v>614</v>
      </c>
      <c r="P191" t="s">
        <v>29</v>
      </c>
      <c r="Q191" t="s">
        <v>27</v>
      </c>
      <c r="R191">
        <v>0</v>
      </c>
    </row>
    <row r="192" spans="1:18">
      <c r="A192" t="s">
        <v>618</v>
      </c>
      <c r="B192" t="s">
        <v>619</v>
      </c>
      <c r="C192" t="s">
        <v>620</v>
      </c>
      <c r="D192" t="s">
        <v>62</v>
      </c>
      <c r="E192" t="s">
        <v>34</v>
      </c>
      <c r="F192" t="s">
        <v>35</v>
      </c>
      <c r="G192" s="13">
        <v>45748</v>
      </c>
      <c r="H192">
        <v>86</v>
      </c>
      <c r="I192">
        <v>0</v>
      </c>
      <c r="J192" t="s">
        <v>36</v>
      </c>
      <c r="K192" t="s">
        <v>25</v>
      </c>
      <c r="L192" t="s">
        <v>37</v>
      </c>
      <c r="M192">
        <v>17</v>
      </c>
      <c r="N192" t="s">
        <v>27</v>
      </c>
      <c r="O192" t="s">
        <v>614</v>
      </c>
      <c r="P192" t="s">
        <v>29</v>
      </c>
      <c r="Q192" t="s">
        <v>27</v>
      </c>
      <c r="R192">
        <v>0</v>
      </c>
    </row>
    <row r="193" spans="1:18">
      <c r="A193" t="s">
        <v>621</v>
      </c>
      <c r="B193" t="s">
        <v>622</v>
      </c>
      <c r="C193" t="s">
        <v>623</v>
      </c>
      <c r="D193" t="s">
        <v>57</v>
      </c>
      <c r="E193" t="s">
        <v>34</v>
      </c>
      <c r="F193" t="s">
        <v>73</v>
      </c>
      <c r="G193" s="13">
        <v>45763</v>
      </c>
      <c r="H193">
        <v>139</v>
      </c>
      <c r="I193">
        <v>0</v>
      </c>
      <c r="J193" t="s">
        <v>36</v>
      </c>
      <c r="K193" t="s">
        <v>25</v>
      </c>
      <c r="L193" t="s">
        <v>37</v>
      </c>
      <c r="M193">
        <v>19</v>
      </c>
      <c r="N193" t="s">
        <v>27</v>
      </c>
      <c r="O193" t="s">
        <v>614</v>
      </c>
      <c r="P193" t="s">
        <v>29</v>
      </c>
      <c r="Q193" t="s">
        <v>27</v>
      </c>
      <c r="R193">
        <v>0</v>
      </c>
    </row>
    <row r="194" spans="1:18">
      <c r="A194" t="s">
        <v>624</v>
      </c>
      <c r="B194" t="s">
        <v>625</v>
      </c>
      <c r="C194" t="s">
        <v>626</v>
      </c>
      <c r="D194" t="s">
        <v>49</v>
      </c>
      <c r="E194" t="s">
        <v>22</v>
      </c>
      <c r="F194" t="s">
        <v>23</v>
      </c>
      <c r="G194" s="13">
        <v>45750</v>
      </c>
      <c r="H194">
        <v>86</v>
      </c>
      <c r="I194">
        <v>0</v>
      </c>
      <c r="J194" t="s">
        <v>36</v>
      </c>
      <c r="K194" t="s">
        <v>25</v>
      </c>
      <c r="L194" t="s">
        <v>37</v>
      </c>
      <c r="M194">
        <v>47</v>
      </c>
      <c r="N194" t="s">
        <v>27</v>
      </c>
      <c r="O194" t="s">
        <v>614</v>
      </c>
      <c r="P194" t="s">
        <v>29</v>
      </c>
      <c r="Q194" t="s">
        <v>27</v>
      </c>
      <c r="R194">
        <v>0</v>
      </c>
    </row>
    <row r="195" spans="1:18">
      <c r="A195" t="s">
        <v>627</v>
      </c>
      <c r="B195" t="s">
        <v>628</v>
      </c>
      <c r="C195" t="s">
        <v>629</v>
      </c>
      <c r="D195" t="s">
        <v>57</v>
      </c>
      <c r="E195" t="s">
        <v>34</v>
      </c>
      <c r="F195" t="s">
        <v>35</v>
      </c>
      <c r="G195" s="13">
        <v>45771</v>
      </c>
      <c r="H195">
        <v>76</v>
      </c>
      <c r="I195">
        <v>0</v>
      </c>
      <c r="J195" t="s">
        <v>36</v>
      </c>
      <c r="K195" t="s">
        <v>25</v>
      </c>
      <c r="L195" t="s">
        <v>37</v>
      </c>
      <c r="M195">
        <v>41</v>
      </c>
      <c r="N195" t="s">
        <v>27</v>
      </c>
      <c r="O195" t="s">
        <v>614</v>
      </c>
      <c r="P195" t="s">
        <v>29</v>
      </c>
      <c r="Q195" t="s">
        <v>27</v>
      </c>
      <c r="R195">
        <v>0</v>
      </c>
    </row>
    <row r="196" spans="1:18">
      <c r="A196" t="s">
        <v>630</v>
      </c>
      <c r="B196" t="s">
        <v>631</v>
      </c>
      <c r="C196" t="s">
        <v>632</v>
      </c>
      <c r="D196" t="s">
        <v>49</v>
      </c>
      <c r="E196" t="s">
        <v>34</v>
      </c>
      <c r="F196" t="s">
        <v>23</v>
      </c>
      <c r="G196" s="13">
        <v>45767</v>
      </c>
      <c r="H196">
        <v>153</v>
      </c>
      <c r="I196">
        <v>0</v>
      </c>
      <c r="J196" t="s">
        <v>36</v>
      </c>
      <c r="K196" t="s">
        <v>25</v>
      </c>
      <c r="L196" t="s">
        <v>37</v>
      </c>
      <c r="M196">
        <v>2</v>
      </c>
      <c r="N196" t="s">
        <v>30</v>
      </c>
      <c r="O196" t="s">
        <v>614</v>
      </c>
      <c r="P196" t="s">
        <v>29</v>
      </c>
      <c r="Q196" t="s">
        <v>27</v>
      </c>
      <c r="R196">
        <v>1</v>
      </c>
    </row>
    <row r="197" spans="1:18">
      <c r="A197" t="s">
        <v>633</v>
      </c>
      <c r="B197" t="s">
        <v>634</v>
      </c>
      <c r="C197" t="s">
        <v>635</v>
      </c>
      <c r="D197" t="s">
        <v>49</v>
      </c>
      <c r="E197" t="s">
        <v>42</v>
      </c>
      <c r="F197" t="s">
        <v>73</v>
      </c>
      <c r="G197" s="13">
        <v>45750</v>
      </c>
      <c r="H197">
        <v>70</v>
      </c>
      <c r="I197">
        <v>0</v>
      </c>
      <c r="J197" t="s">
        <v>36</v>
      </c>
      <c r="K197" t="s">
        <v>25</v>
      </c>
      <c r="L197" t="s">
        <v>37</v>
      </c>
      <c r="M197">
        <v>12</v>
      </c>
      <c r="N197" t="s">
        <v>27</v>
      </c>
      <c r="O197" t="s">
        <v>614</v>
      </c>
      <c r="P197" t="s">
        <v>29</v>
      </c>
      <c r="Q197" t="s">
        <v>27</v>
      </c>
      <c r="R197">
        <v>0</v>
      </c>
    </row>
    <row r="198" spans="1:18">
      <c r="A198" t="s">
        <v>636</v>
      </c>
      <c r="B198" t="s">
        <v>637</v>
      </c>
      <c r="C198" t="s">
        <v>638</v>
      </c>
      <c r="D198" t="s">
        <v>57</v>
      </c>
      <c r="E198" t="s">
        <v>42</v>
      </c>
      <c r="F198" t="s">
        <v>58</v>
      </c>
      <c r="G198" s="13">
        <v>45758</v>
      </c>
      <c r="H198">
        <v>108</v>
      </c>
      <c r="I198">
        <v>0</v>
      </c>
      <c r="J198" t="s">
        <v>36</v>
      </c>
      <c r="K198" t="s">
        <v>45</v>
      </c>
      <c r="L198" t="s">
        <v>37</v>
      </c>
      <c r="M198">
        <v>22</v>
      </c>
      <c r="N198" t="s">
        <v>27</v>
      </c>
      <c r="O198" t="s">
        <v>614</v>
      </c>
      <c r="P198" t="s">
        <v>29</v>
      </c>
      <c r="Q198" t="s">
        <v>27</v>
      </c>
      <c r="R198">
        <v>0</v>
      </c>
    </row>
    <row r="199" spans="1:18">
      <c r="A199" t="s">
        <v>639</v>
      </c>
      <c r="B199" t="s">
        <v>631</v>
      </c>
      <c r="C199" t="s">
        <v>640</v>
      </c>
      <c r="D199" t="s">
        <v>57</v>
      </c>
      <c r="E199" t="s">
        <v>42</v>
      </c>
      <c r="F199" t="s">
        <v>80</v>
      </c>
      <c r="G199" s="13">
        <v>45770</v>
      </c>
      <c r="H199">
        <v>81</v>
      </c>
      <c r="I199">
        <v>0</v>
      </c>
      <c r="J199" t="s">
        <v>36</v>
      </c>
      <c r="K199" t="s">
        <v>45</v>
      </c>
      <c r="L199" t="s">
        <v>37</v>
      </c>
      <c r="M199">
        <v>46</v>
      </c>
      <c r="N199" t="s">
        <v>27</v>
      </c>
      <c r="O199" t="s">
        <v>614</v>
      </c>
      <c r="P199" t="s">
        <v>29</v>
      </c>
      <c r="Q199" t="s">
        <v>27</v>
      </c>
      <c r="R199">
        <v>0</v>
      </c>
    </row>
    <row r="200" spans="1:18">
      <c r="A200" t="s">
        <v>641</v>
      </c>
      <c r="B200" t="s">
        <v>642</v>
      </c>
      <c r="C200" t="s">
        <v>643</v>
      </c>
      <c r="D200" t="s">
        <v>21</v>
      </c>
      <c r="E200" t="s">
        <v>42</v>
      </c>
      <c r="F200" t="s">
        <v>58</v>
      </c>
      <c r="G200" s="13">
        <v>45755</v>
      </c>
      <c r="H200">
        <v>104</v>
      </c>
      <c r="I200">
        <v>9.94</v>
      </c>
      <c r="J200" t="s">
        <v>173</v>
      </c>
      <c r="K200" t="s">
        <v>66</v>
      </c>
      <c r="L200" t="s">
        <v>26</v>
      </c>
      <c r="M200">
        <v>21</v>
      </c>
      <c r="N200" t="s">
        <v>27</v>
      </c>
      <c r="O200" t="s">
        <v>614</v>
      </c>
      <c r="P200" t="s">
        <v>29</v>
      </c>
      <c r="Q200" t="s">
        <v>30</v>
      </c>
      <c r="R200">
        <v>0</v>
      </c>
    </row>
    <row r="201" spans="1:18">
      <c r="A201" t="s">
        <v>644</v>
      </c>
      <c r="B201" t="s">
        <v>645</v>
      </c>
      <c r="C201" t="s">
        <v>646</v>
      </c>
      <c r="D201" t="s">
        <v>21</v>
      </c>
      <c r="E201" t="s">
        <v>42</v>
      </c>
      <c r="F201" t="s">
        <v>43</v>
      </c>
      <c r="G201" s="13">
        <v>45749</v>
      </c>
      <c r="H201">
        <v>65</v>
      </c>
      <c r="I201">
        <v>0</v>
      </c>
      <c r="J201" t="s">
        <v>36</v>
      </c>
      <c r="K201" t="s">
        <v>25</v>
      </c>
      <c r="L201" t="s">
        <v>37</v>
      </c>
      <c r="M201">
        <v>8</v>
      </c>
      <c r="N201" t="s">
        <v>27</v>
      </c>
      <c r="O201" t="s">
        <v>614</v>
      </c>
      <c r="P201" t="s">
        <v>29</v>
      </c>
      <c r="Q201" t="s">
        <v>27</v>
      </c>
      <c r="R201">
        <v>0</v>
      </c>
    </row>
    <row r="202" spans="1:18">
      <c r="A202" t="s">
        <v>647</v>
      </c>
      <c r="B202" t="s">
        <v>648</v>
      </c>
      <c r="C202" t="s">
        <v>649</v>
      </c>
      <c r="D202" t="s">
        <v>62</v>
      </c>
      <c r="E202" t="s">
        <v>34</v>
      </c>
      <c r="F202" t="s">
        <v>58</v>
      </c>
      <c r="G202" s="13">
        <v>45748</v>
      </c>
      <c r="H202">
        <v>150</v>
      </c>
      <c r="I202">
        <v>0</v>
      </c>
      <c r="J202" t="s">
        <v>36</v>
      </c>
      <c r="K202" t="s">
        <v>25</v>
      </c>
      <c r="L202" t="s">
        <v>37</v>
      </c>
      <c r="M202">
        <v>47</v>
      </c>
      <c r="N202" t="s">
        <v>27</v>
      </c>
      <c r="O202" t="s">
        <v>614</v>
      </c>
      <c r="P202" t="s">
        <v>29</v>
      </c>
      <c r="Q202" t="s">
        <v>27</v>
      </c>
      <c r="R202">
        <v>0</v>
      </c>
    </row>
    <row r="203" spans="1:18">
      <c r="A203" t="s">
        <v>650</v>
      </c>
      <c r="B203" t="s">
        <v>651</v>
      </c>
      <c r="C203" t="s">
        <v>652</v>
      </c>
      <c r="D203" t="s">
        <v>21</v>
      </c>
      <c r="E203" t="s">
        <v>42</v>
      </c>
      <c r="F203" t="s">
        <v>80</v>
      </c>
      <c r="G203" s="13">
        <v>45773</v>
      </c>
      <c r="H203">
        <v>101</v>
      </c>
      <c r="I203">
        <v>0</v>
      </c>
      <c r="J203" t="s">
        <v>36</v>
      </c>
      <c r="K203" t="s">
        <v>25</v>
      </c>
      <c r="L203" t="s">
        <v>37</v>
      </c>
      <c r="M203">
        <v>15</v>
      </c>
      <c r="N203" t="s">
        <v>27</v>
      </c>
      <c r="O203" t="s">
        <v>614</v>
      </c>
      <c r="P203" t="s">
        <v>29</v>
      </c>
      <c r="Q203" t="s">
        <v>27</v>
      </c>
      <c r="R203">
        <v>0</v>
      </c>
    </row>
    <row r="204" spans="1:18">
      <c r="A204" t="s">
        <v>653</v>
      </c>
      <c r="B204" t="s">
        <v>214</v>
      </c>
      <c r="C204" t="s">
        <v>654</v>
      </c>
      <c r="D204" t="s">
        <v>57</v>
      </c>
      <c r="E204" t="s">
        <v>34</v>
      </c>
      <c r="F204" t="s">
        <v>58</v>
      </c>
      <c r="G204" s="13">
        <v>45774</v>
      </c>
      <c r="H204">
        <v>72</v>
      </c>
      <c r="I204">
        <v>0</v>
      </c>
      <c r="J204" t="s">
        <v>36</v>
      </c>
      <c r="K204" t="s">
        <v>25</v>
      </c>
      <c r="L204" t="s">
        <v>26</v>
      </c>
      <c r="M204">
        <v>6</v>
      </c>
      <c r="N204" t="s">
        <v>27</v>
      </c>
      <c r="O204" t="s">
        <v>614</v>
      </c>
      <c r="P204" t="s">
        <v>29</v>
      </c>
      <c r="Q204" t="s">
        <v>27</v>
      </c>
      <c r="R204">
        <v>0</v>
      </c>
    </row>
    <row r="205" spans="1:18">
      <c r="A205" t="s">
        <v>655</v>
      </c>
      <c r="B205" t="s">
        <v>656</v>
      </c>
      <c r="C205" t="s">
        <v>657</v>
      </c>
      <c r="D205" t="s">
        <v>62</v>
      </c>
      <c r="E205" t="s">
        <v>42</v>
      </c>
      <c r="F205" t="s">
        <v>73</v>
      </c>
      <c r="G205" s="13">
        <v>45759</v>
      </c>
      <c r="H205">
        <v>145</v>
      </c>
      <c r="I205">
        <v>0</v>
      </c>
      <c r="J205" t="s">
        <v>36</v>
      </c>
      <c r="K205" t="s">
        <v>25</v>
      </c>
      <c r="L205" t="s">
        <v>26</v>
      </c>
      <c r="M205">
        <v>36</v>
      </c>
      <c r="N205" t="s">
        <v>27</v>
      </c>
      <c r="O205" t="s">
        <v>614</v>
      </c>
      <c r="P205" t="s">
        <v>29</v>
      </c>
      <c r="Q205" t="s">
        <v>27</v>
      </c>
      <c r="R205">
        <v>0</v>
      </c>
    </row>
    <row r="206" spans="1:18">
      <c r="A206" t="s">
        <v>658</v>
      </c>
      <c r="B206" t="s">
        <v>659</v>
      </c>
      <c r="C206" t="s">
        <v>660</v>
      </c>
      <c r="D206" t="s">
        <v>21</v>
      </c>
      <c r="E206" t="s">
        <v>42</v>
      </c>
      <c r="F206" t="s">
        <v>73</v>
      </c>
      <c r="G206" s="13">
        <v>45769</v>
      </c>
      <c r="H206">
        <v>83</v>
      </c>
      <c r="I206">
        <v>0</v>
      </c>
      <c r="J206" t="s">
        <v>36</v>
      </c>
      <c r="K206" t="s">
        <v>25</v>
      </c>
      <c r="L206" t="s">
        <v>37</v>
      </c>
      <c r="M206">
        <v>25</v>
      </c>
      <c r="N206" t="s">
        <v>27</v>
      </c>
      <c r="O206" t="s">
        <v>614</v>
      </c>
      <c r="P206" t="s">
        <v>29</v>
      </c>
      <c r="Q206" t="s">
        <v>27</v>
      </c>
      <c r="R206">
        <v>0</v>
      </c>
    </row>
    <row r="207" spans="1:18">
      <c r="A207" t="s">
        <v>661</v>
      </c>
      <c r="B207" t="s">
        <v>662</v>
      </c>
      <c r="C207" t="s">
        <v>663</v>
      </c>
      <c r="D207" t="s">
        <v>62</v>
      </c>
      <c r="E207" t="s">
        <v>34</v>
      </c>
      <c r="F207" t="s">
        <v>58</v>
      </c>
      <c r="G207" s="13">
        <v>45770</v>
      </c>
      <c r="H207">
        <v>136</v>
      </c>
      <c r="I207">
        <v>0</v>
      </c>
      <c r="J207" t="s">
        <v>36</v>
      </c>
      <c r="K207" t="s">
        <v>25</v>
      </c>
      <c r="L207" t="s">
        <v>37</v>
      </c>
      <c r="M207">
        <v>23</v>
      </c>
      <c r="N207" t="s">
        <v>27</v>
      </c>
      <c r="O207" t="s">
        <v>614</v>
      </c>
      <c r="P207" t="s">
        <v>29</v>
      </c>
      <c r="Q207" t="s">
        <v>27</v>
      </c>
      <c r="R207">
        <v>0</v>
      </c>
    </row>
    <row r="208" spans="1:18">
      <c r="A208" t="s">
        <v>664</v>
      </c>
      <c r="B208" t="s">
        <v>665</v>
      </c>
      <c r="C208" t="s">
        <v>666</v>
      </c>
      <c r="D208" t="s">
        <v>57</v>
      </c>
      <c r="E208" t="s">
        <v>42</v>
      </c>
      <c r="F208" t="s">
        <v>80</v>
      </c>
      <c r="G208" s="13">
        <v>45767</v>
      </c>
      <c r="H208">
        <v>97</v>
      </c>
      <c r="I208">
        <v>3.6</v>
      </c>
      <c r="J208" t="s">
        <v>173</v>
      </c>
      <c r="K208" t="s">
        <v>53</v>
      </c>
      <c r="L208" t="s">
        <v>26</v>
      </c>
      <c r="M208">
        <v>14</v>
      </c>
      <c r="N208" t="s">
        <v>27</v>
      </c>
      <c r="O208" t="s">
        <v>614</v>
      </c>
      <c r="P208" t="s">
        <v>29</v>
      </c>
      <c r="Q208" t="s">
        <v>30</v>
      </c>
      <c r="R208">
        <v>0</v>
      </c>
    </row>
    <row r="209" spans="1:18">
      <c r="A209" t="s">
        <v>667</v>
      </c>
      <c r="B209" t="s">
        <v>668</v>
      </c>
      <c r="C209" t="s">
        <v>669</v>
      </c>
      <c r="D209" t="s">
        <v>21</v>
      </c>
      <c r="E209" t="s">
        <v>42</v>
      </c>
      <c r="F209" t="s">
        <v>73</v>
      </c>
      <c r="G209" s="13">
        <v>45765</v>
      </c>
      <c r="H209">
        <v>116</v>
      </c>
      <c r="I209">
        <v>17.05</v>
      </c>
      <c r="J209" t="s">
        <v>173</v>
      </c>
      <c r="K209" t="s">
        <v>66</v>
      </c>
      <c r="L209" t="s">
        <v>26</v>
      </c>
      <c r="M209">
        <v>17</v>
      </c>
      <c r="N209" t="s">
        <v>27</v>
      </c>
      <c r="O209" t="s">
        <v>614</v>
      </c>
      <c r="P209" t="s">
        <v>29</v>
      </c>
      <c r="Q209" t="s">
        <v>30</v>
      </c>
      <c r="R209">
        <v>0</v>
      </c>
    </row>
    <row r="210" spans="1:18">
      <c r="A210" t="s">
        <v>670</v>
      </c>
      <c r="B210" t="s">
        <v>671</v>
      </c>
      <c r="C210" t="s">
        <v>672</v>
      </c>
      <c r="D210" t="s">
        <v>57</v>
      </c>
      <c r="E210" t="s">
        <v>22</v>
      </c>
      <c r="F210" t="s">
        <v>23</v>
      </c>
      <c r="G210" s="13">
        <v>45755</v>
      </c>
      <c r="H210">
        <v>180</v>
      </c>
      <c r="I210">
        <v>0</v>
      </c>
      <c r="J210" t="s">
        <v>36</v>
      </c>
      <c r="K210" t="s">
        <v>25</v>
      </c>
      <c r="L210" t="s">
        <v>37</v>
      </c>
      <c r="M210">
        <v>8</v>
      </c>
      <c r="N210" t="s">
        <v>30</v>
      </c>
      <c r="O210" t="s">
        <v>614</v>
      </c>
      <c r="P210" t="s">
        <v>29</v>
      </c>
      <c r="Q210" t="s">
        <v>27</v>
      </c>
      <c r="R210">
        <v>1</v>
      </c>
    </row>
    <row r="211" spans="1:18">
      <c r="A211" t="s">
        <v>673</v>
      </c>
      <c r="B211" t="s">
        <v>674</v>
      </c>
      <c r="C211" t="s">
        <v>675</v>
      </c>
      <c r="D211" t="s">
        <v>57</v>
      </c>
      <c r="E211" t="s">
        <v>22</v>
      </c>
      <c r="F211" t="s">
        <v>73</v>
      </c>
      <c r="G211" s="13">
        <v>45763</v>
      </c>
      <c r="H211">
        <v>116</v>
      </c>
      <c r="I211">
        <v>47.47</v>
      </c>
      <c r="J211" t="s">
        <v>173</v>
      </c>
      <c r="K211" t="s">
        <v>25</v>
      </c>
      <c r="L211" t="s">
        <v>26</v>
      </c>
      <c r="M211">
        <v>1</v>
      </c>
      <c r="N211" t="s">
        <v>30</v>
      </c>
      <c r="O211" t="s">
        <v>614</v>
      </c>
      <c r="P211" t="s">
        <v>29</v>
      </c>
      <c r="Q211" t="s">
        <v>30</v>
      </c>
      <c r="R211">
        <v>1</v>
      </c>
    </row>
    <row r="212" spans="1:18">
      <c r="A212" t="s">
        <v>676</v>
      </c>
      <c r="B212" t="s">
        <v>677</v>
      </c>
      <c r="C212" t="s">
        <v>678</v>
      </c>
      <c r="D212" t="s">
        <v>41</v>
      </c>
      <c r="E212" t="s">
        <v>42</v>
      </c>
      <c r="F212" t="s">
        <v>43</v>
      </c>
      <c r="G212" s="13">
        <v>45756</v>
      </c>
      <c r="H212">
        <v>123</v>
      </c>
      <c r="I212">
        <v>0</v>
      </c>
      <c r="J212" t="s">
        <v>36</v>
      </c>
      <c r="K212" t="s">
        <v>45</v>
      </c>
      <c r="L212" t="s">
        <v>26</v>
      </c>
      <c r="M212">
        <v>47</v>
      </c>
      <c r="N212" t="s">
        <v>27</v>
      </c>
      <c r="O212" t="s">
        <v>614</v>
      </c>
      <c r="P212" t="s">
        <v>29</v>
      </c>
      <c r="Q212" t="s">
        <v>27</v>
      </c>
      <c r="R212">
        <v>0</v>
      </c>
    </row>
    <row r="213" spans="1:18">
      <c r="A213" t="s">
        <v>679</v>
      </c>
      <c r="B213" t="s">
        <v>680</v>
      </c>
      <c r="C213" t="s">
        <v>681</v>
      </c>
      <c r="D213" t="s">
        <v>21</v>
      </c>
      <c r="E213" t="s">
        <v>42</v>
      </c>
      <c r="F213" t="s">
        <v>58</v>
      </c>
      <c r="G213" s="13">
        <v>45748</v>
      </c>
      <c r="H213">
        <v>88</v>
      </c>
      <c r="I213">
        <v>0</v>
      </c>
      <c r="J213" t="s">
        <v>36</v>
      </c>
      <c r="K213" t="s">
        <v>25</v>
      </c>
      <c r="L213" t="s">
        <v>37</v>
      </c>
      <c r="M213">
        <v>39</v>
      </c>
      <c r="N213" t="s">
        <v>27</v>
      </c>
      <c r="O213" t="s">
        <v>614</v>
      </c>
      <c r="P213" t="s">
        <v>29</v>
      </c>
      <c r="Q213" t="s">
        <v>27</v>
      </c>
      <c r="R213">
        <v>0</v>
      </c>
    </row>
    <row r="214" spans="1:18">
      <c r="A214" t="s">
        <v>682</v>
      </c>
      <c r="B214" t="s">
        <v>683</v>
      </c>
      <c r="C214" t="s">
        <v>684</v>
      </c>
      <c r="D214" t="s">
        <v>21</v>
      </c>
      <c r="E214" t="s">
        <v>42</v>
      </c>
      <c r="F214" t="s">
        <v>35</v>
      </c>
      <c r="G214" s="13">
        <v>45753</v>
      </c>
      <c r="H214">
        <v>145</v>
      </c>
      <c r="I214">
        <v>0</v>
      </c>
      <c r="J214" t="s">
        <v>36</v>
      </c>
      <c r="K214" t="s">
        <v>25</v>
      </c>
      <c r="L214" t="s">
        <v>37</v>
      </c>
      <c r="M214">
        <v>43</v>
      </c>
      <c r="N214" t="s">
        <v>27</v>
      </c>
      <c r="O214" t="s">
        <v>614</v>
      </c>
      <c r="P214" t="s">
        <v>29</v>
      </c>
      <c r="Q214" t="s">
        <v>27</v>
      </c>
      <c r="R214">
        <v>0</v>
      </c>
    </row>
    <row r="215" spans="1:18">
      <c r="A215" t="s">
        <v>685</v>
      </c>
      <c r="B215" t="s">
        <v>686</v>
      </c>
      <c r="C215" t="s">
        <v>687</v>
      </c>
      <c r="D215" t="s">
        <v>21</v>
      </c>
      <c r="E215" t="s">
        <v>34</v>
      </c>
      <c r="F215" t="s">
        <v>58</v>
      </c>
      <c r="G215" s="13">
        <v>45758</v>
      </c>
      <c r="H215">
        <v>111</v>
      </c>
      <c r="I215">
        <v>0</v>
      </c>
      <c r="J215" t="s">
        <v>36</v>
      </c>
      <c r="K215" t="s">
        <v>25</v>
      </c>
      <c r="L215" t="s">
        <v>37</v>
      </c>
      <c r="M215">
        <v>39</v>
      </c>
      <c r="N215" t="s">
        <v>27</v>
      </c>
      <c r="O215" t="s">
        <v>614</v>
      </c>
      <c r="P215" t="s">
        <v>29</v>
      </c>
      <c r="Q215" t="s">
        <v>27</v>
      </c>
      <c r="R215">
        <v>0</v>
      </c>
    </row>
    <row r="216" spans="1:18">
      <c r="A216" t="s">
        <v>688</v>
      </c>
      <c r="B216" t="s">
        <v>689</v>
      </c>
      <c r="C216" t="s">
        <v>690</v>
      </c>
      <c r="D216" t="s">
        <v>62</v>
      </c>
      <c r="E216" t="s">
        <v>42</v>
      </c>
      <c r="F216" t="s">
        <v>35</v>
      </c>
      <c r="G216" s="13">
        <v>45776</v>
      </c>
      <c r="H216">
        <v>101</v>
      </c>
      <c r="I216">
        <v>0</v>
      </c>
      <c r="J216" t="s">
        <v>36</v>
      </c>
      <c r="K216" t="s">
        <v>53</v>
      </c>
      <c r="L216" t="s">
        <v>37</v>
      </c>
      <c r="M216">
        <v>41</v>
      </c>
      <c r="N216" t="s">
        <v>27</v>
      </c>
      <c r="O216" t="s">
        <v>614</v>
      </c>
      <c r="P216" t="s">
        <v>29</v>
      </c>
      <c r="Q216" t="s">
        <v>27</v>
      </c>
      <c r="R216">
        <v>0</v>
      </c>
    </row>
    <row r="217" spans="1:18">
      <c r="A217" t="s">
        <v>691</v>
      </c>
      <c r="B217" t="s">
        <v>692</v>
      </c>
      <c r="C217" t="s">
        <v>693</v>
      </c>
      <c r="D217" t="s">
        <v>57</v>
      </c>
      <c r="E217" t="s">
        <v>42</v>
      </c>
      <c r="F217" t="s">
        <v>80</v>
      </c>
      <c r="G217" s="13">
        <v>45765</v>
      </c>
      <c r="H217">
        <v>165</v>
      </c>
      <c r="I217">
        <v>21.99</v>
      </c>
      <c r="J217" t="s">
        <v>24</v>
      </c>
      <c r="K217" t="s">
        <v>66</v>
      </c>
      <c r="L217" t="s">
        <v>26</v>
      </c>
      <c r="M217">
        <v>45</v>
      </c>
      <c r="N217" t="s">
        <v>30</v>
      </c>
      <c r="O217" t="s">
        <v>614</v>
      </c>
      <c r="P217" t="s">
        <v>29</v>
      </c>
      <c r="Q217" t="s">
        <v>30</v>
      </c>
      <c r="R217">
        <v>1</v>
      </c>
    </row>
    <row r="218" spans="1:18">
      <c r="A218" t="s">
        <v>694</v>
      </c>
      <c r="B218" t="s">
        <v>695</v>
      </c>
      <c r="C218" t="s">
        <v>696</v>
      </c>
      <c r="D218" t="s">
        <v>41</v>
      </c>
      <c r="E218" t="s">
        <v>34</v>
      </c>
      <c r="F218" t="s">
        <v>23</v>
      </c>
      <c r="G218" s="13">
        <v>45775</v>
      </c>
      <c r="H218">
        <v>105</v>
      </c>
      <c r="I218">
        <v>0</v>
      </c>
      <c r="J218" t="s">
        <v>36</v>
      </c>
      <c r="K218" t="s">
        <v>25</v>
      </c>
      <c r="L218" t="s">
        <v>37</v>
      </c>
      <c r="M218">
        <v>38</v>
      </c>
      <c r="N218" t="s">
        <v>27</v>
      </c>
      <c r="O218" t="s">
        <v>614</v>
      </c>
      <c r="P218" t="s">
        <v>29</v>
      </c>
      <c r="Q218" t="s">
        <v>27</v>
      </c>
      <c r="R218">
        <v>0</v>
      </c>
    </row>
    <row r="219" spans="1:18">
      <c r="A219" t="s">
        <v>697</v>
      </c>
      <c r="B219" t="s">
        <v>698</v>
      </c>
      <c r="C219" t="s">
        <v>699</v>
      </c>
      <c r="D219" t="s">
        <v>62</v>
      </c>
      <c r="E219" t="s">
        <v>34</v>
      </c>
      <c r="F219" t="s">
        <v>35</v>
      </c>
      <c r="G219" s="13">
        <v>45756</v>
      </c>
      <c r="H219">
        <v>92</v>
      </c>
      <c r="I219">
        <v>0</v>
      </c>
      <c r="J219" t="s">
        <v>36</v>
      </c>
      <c r="K219" t="s">
        <v>25</v>
      </c>
      <c r="L219" t="s">
        <v>37</v>
      </c>
      <c r="M219">
        <v>11</v>
      </c>
      <c r="N219" t="s">
        <v>27</v>
      </c>
      <c r="O219" t="s">
        <v>614</v>
      </c>
      <c r="P219" t="s">
        <v>29</v>
      </c>
      <c r="Q219" t="s">
        <v>27</v>
      </c>
      <c r="R219">
        <v>0</v>
      </c>
    </row>
    <row r="220" spans="1:18">
      <c r="A220" t="s">
        <v>700</v>
      </c>
      <c r="B220" t="s">
        <v>701</v>
      </c>
      <c r="C220" t="s">
        <v>702</v>
      </c>
      <c r="D220" t="s">
        <v>21</v>
      </c>
      <c r="E220" t="s">
        <v>22</v>
      </c>
      <c r="F220" t="s">
        <v>58</v>
      </c>
      <c r="G220" s="13">
        <v>45754</v>
      </c>
      <c r="H220">
        <v>144</v>
      </c>
      <c r="I220">
        <v>29.52</v>
      </c>
      <c r="J220" t="s">
        <v>129</v>
      </c>
      <c r="K220" t="s">
        <v>66</v>
      </c>
      <c r="L220" t="s">
        <v>26</v>
      </c>
      <c r="M220">
        <v>36</v>
      </c>
      <c r="N220" t="s">
        <v>27</v>
      </c>
      <c r="O220" t="s">
        <v>614</v>
      </c>
      <c r="P220" t="s">
        <v>29</v>
      </c>
      <c r="Q220" t="s">
        <v>30</v>
      </c>
      <c r="R220">
        <v>0</v>
      </c>
    </row>
    <row r="221" spans="1:18">
      <c r="A221" t="s">
        <v>703</v>
      </c>
      <c r="B221" t="s">
        <v>704</v>
      </c>
      <c r="C221" t="s">
        <v>705</v>
      </c>
      <c r="D221" t="s">
        <v>57</v>
      </c>
      <c r="E221" t="s">
        <v>34</v>
      </c>
      <c r="F221" t="s">
        <v>73</v>
      </c>
      <c r="G221" s="13">
        <v>45764</v>
      </c>
      <c r="H221">
        <v>163</v>
      </c>
      <c r="I221">
        <v>0</v>
      </c>
      <c r="J221" t="s">
        <v>36</v>
      </c>
      <c r="K221" t="s">
        <v>25</v>
      </c>
      <c r="L221" t="s">
        <v>37</v>
      </c>
      <c r="M221">
        <v>46</v>
      </c>
      <c r="N221" t="s">
        <v>30</v>
      </c>
      <c r="O221" t="s">
        <v>614</v>
      </c>
      <c r="P221" t="s">
        <v>29</v>
      </c>
      <c r="Q221" t="s">
        <v>27</v>
      </c>
      <c r="R221">
        <v>1</v>
      </c>
    </row>
    <row r="222" spans="1:18">
      <c r="A222" t="s">
        <v>706</v>
      </c>
      <c r="B222" t="s">
        <v>707</v>
      </c>
      <c r="C222" t="s">
        <v>708</v>
      </c>
      <c r="D222" t="s">
        <v>57</v>
      </c>
      <c r="E222" t="s">
        <v>22</v>
      </c>
      <c r="F222" t="s">
        <v>80</v>
      </c>
      <c r="G222" s="13">
        <v>45772</v>
      </c>
      <c r="H222">
        <v>161</v>
      </c>
      <c r="I222">
        <v>0</v>
      </c>
      <c r="J222" t="s">
        <v>36</v>
      </c>
      <c r="K222" t="s">
        <v>25</v>
      </c>
      <c r="L222" t="s">
        <v>37</v>
      </c>
      <c r="M222">
        <v>25</v>
      </c>
      <c r="N222" t="s">
        <v>30</v>
      </c>
      <c r="O222" t="s">
        <v>614</v>
      </c>
      <c r="P222" t="s">
        <v>29</v>
      </c>
      <c r="Q222" t="s">
        <v>27</v>
      </c>
      <c r="R222">
        <v>1</v>
      </c>
    </row>
    <row r="223" spans="1:18">
      <c r="A223" t="s">
        <v>709</v>
      </c>
      <c r="B223" t="s">
        <v>710</v>
      </c>
      <c r="C223" t="s">
        <v>711</v>
      </c>
      <c r="D223" t="s">
        <v>62</v>
      </c>
      <c r="E223" t="s">
        <v>42</v>
      </c>
      <c r="F223" t="s">
        <v>35</v>
      </c>
      <c r="G223" s="13">
        <v>45749</v>
      </c>
      <c r="H223">
        <v>116</v>
      </c>
      <c r="I223">
        <v>0</v>
      </c>
      <c r="J223" t="s">
        <v>36</v>
      </c>
      <c r="K223" t="s">
        <v>53</v>
      </c>
      <c r="L223" t="s">
        <v>26</v>
      </c>
      <c r="M223">
        <v>11</v>
      </c>
      <c r="N223" t="s">
        <v>27</v>
      </c>
      <c r="O223" t="s">
        <v>614</v>
      </c>
      <c r="P223" t="s">
        <v>29</v>
      </c>
      <c r="Q223" t="s">
        <v>27</v>
      </c>
      <c r="R223">
        <v>0</v>
      </c>
    </row>
    <row r="224" spans="1:18">
      <c r="A224" t="s">
        <v>712</v>
      </c>
      <c r="B224" t="s">
        <v>713</v>
      </c>
      <c r="C224" t="s">
        <v>714</v>
      </c>
      <c r="D224" t="s">
        <v>49</v>
      </c>
      <c r="E224" t="s">
        <v>42</v>
      </c>
      <c r="F224" t="s">
        <v>43</v>
      </c>
      <c r="G224" s="13">
        <v>45749</v>
      </c>
      <c r="H224">
        <v>175</v>
      </c>
      <c r="I224">
        <v>7.47</v>
      </c>
      <c r="J224" t="s">
        <v>129</v>
      </c>
      <c r="K224" t="s">
        <v>25</v>
      </c>
      <c r="L224" t="s">
        <v>26</v>
      </c>
      <c r="M224">
        <v>17</v>
      </c>
      <c r="N224" t="s">
        <v>30</v>
      </c>
      <c r="O224" t="s">
        <v>614</v>
      </c>
      <c r="P224" t="s">
        <v>29</v>
      </c>
      <c r="Q224" t="s">
        <v>30</v>
      </c>
      <c r="R224">
        <v>1</v>
      </c>
    </row>
    <row r="225" spans="1:18">
      <c r="A225" t="s">
        <v>715</v>
      </c>
      <c r="B225" t="s">
        <v>716</v>
      </c>
      <c r="C225" t="s">
        <v>717</v>
      </c>
      <c r="D225" t="s">
        <v>62</v>
      </c>
      <c r="E225" t="s">
        <v>22</v>
      </c>
      <c r="F225" t="s">
        <v>80</v>
      </c>
      <c r="G225" s="13">
        <v>45763</v>
      </c>
      <c r="H225">
        <v>73</v>
      </c>
      <c r="I225">
        <v>0</v>
      </c>
      <c r="J225" t="s">
        <v>36</v>
      </c>
      <c r="K225" t="s">
        <v>53</v>
      </c>
      <c r="L225" t="s">
        <v>37</v>
      </c>
      <c r="M225">
        <v>32</v>
      </c>
      <c r="N225" t="s">
        <v>27</v>
      </c>
      <c r="O225" t="s">
        <v>614</v>
      </c>
      <c r="P225" t="s">
        <v>29</v>
      </c>
      <c r="Q225" t="s">
        <v>27</v>
      </c>
      <c r="R225">
        <v>0</v>
      </c>
    </row>
    <row r="226" spans="1:18">
      <c r="A226" t="s">
        <v>718</v>
      </c>
      <c r="B226" t="s">
        <v>719</v>
      </c>
      <c r="C226" t="s">
        <v>720</v>
      </c>
      <c r="D226" t="s">
        <v>62</v>
      </c>
      <c r="E226" t="s">
        <v>22</v>
      </c>
      <c r="F226" t="s">
        <v>73</v>
      </c>
      <c r="G226" s="13">
        <v>45772</v>
      </c>
      <c r="H226">
        <v>91</v>
      </c>
      <c r="I226">
        <v>0</v>
      </c>
      <c r="J226" t="s">
        <v>36</v>
      </c>
      <c r="K226" t="s">
        <v>66</v>
      </c>
      <c r="L226" t="s">
        <v>37</v>
      </c>
      <c r="M226">
        <v>44</v>
      </c>
      <c r="N226" t="s">
        <v>27</v>
      </c>
      <c r="O226" t="s">
        <v>614</v>
      </c>
      <c r="P226" t="s">
        <v>29</v>
      </c>
      <c r="Q226" t="s">
        <v>27</v>
      </c>
      <c r="R226">
        <v>0</v>
      </c>
    </row>
    <row r="227" spans="1:18">
      <c r="A227" t="s">
        <v>721</v>
      </c>
      <c r="B227" t="s">
        <v>722</v>
      </c>
      <c r="C227" t="s">
        <v>723</v>
      </c>
      <c r="D227" t="s">
        <v>41</v>
      </c>
      <c r="E227" t="s">
        <v>34</v>
      </c>
      <c r="F227" t="s">
        <v>80</v>
      </c>
      <c r="G227" s="13">
        <v>45764</v>
      </c>
      <c r="H227">
        <v>116</v>
      </c>
      <c r="I227">
        <v>0</v>
      </c>
      <c r="J227" t="s">
        <v>36</v>
      </c>
      <c r="K227" t="s">
        <v>25</v>
      </c>
      <c r="L227" t="s">
        <v>37</v>
      </c>
      <c r="M227">
        <v>40</v>
      </c>
      <c r="N227" t="s">
        <v>27</v>
      </c>
      <c r="O227" t="s">
        <v>614</v>
      </c>
      <c r="P227" t="s">
        <v>29</v>
      </c>
      <c r="Q227" t="s">
        <v>27</v>
      </c>
      <c r="R227">
        <v>0</v>
      </c>
    </row>
    <row r="228" spans="1:18">
      <c r="A228" t="s">
        <v>724</v>
      </c>
      <c r="B228" t="s">
        <v>725</v>
      </c>
      <c r="C228" t="s">
        <v>726</v>
      </c>
      <c r="D228" t="s">
        <v>21</v>
      </c>
      <c r="E228" t="s">
        <v>42</v>
      </c>
      <c r="F228" t="s">
        <v>58</v>
      </c>
      <c r="G228" s="13">
        <v>45758</v>
      </c>
      <c r="H228">
        <v>166</v>
      </c>
      <c r="I228">
        <v>47.72</v>
      </c>
      <c r="J228" t="s">
        <v>129</v>
      </c>
      <c r="K228" t="s">
        <v>25</v>
      </c>
      <c r="L228" t="s">
        <v>26</v>
      </c>
      <c r="M228">
        <v>40</v>
      </c>
      <c r="N228" t="s">
        <v>30</v>
      </c>
      <c r="O228" t="s">
        <v>614</v>
      </c>
      <c r="P228" t="s">
        <v>29</v>
      </c>
      <c r="Q228" t="s">
        <v>30</v>
      </c>
      <c r="R228">
        <v>1</v>
      </c>
    </row>
    <row r="229" spans="1:18">
      <c r="A229" t="s">
        <v>727</v>
      </c>
      <c r="B229" t="s">
        <v>728</v>
      </c>
      <c r="C229" t="s">
        <v>729</v>
      </c>
      <c r="D229" t="s">
        <v>49</v>
      </c>
      <c r="E229" t="s">
        <v>22</v>
      </c>
      <c r="F229" t="s">
        <v>23</v>
      </c>
      <c r="G229" s="13">
        <v>45750</v>
      </c>
      <c r="H229">
        <v>87</v>
      </c>
      <c r="I229">
        <v>0</v>
      </c>
      <c r="J229" t="s">
        <v>36</v>
      </c>
      <c r="K229" t="s">
        <v>25</v>
      </c>
      <c r="L229" t="s">
        <v>37</v>
      </c>
      <c r="M229">
        <v>33</v>
      </c>
      <c r="N229" t="s">
        <v>27</v>
      </c>
      <c r="O229" t="s">
        <v>614</v>
      </c>
      <c r="P229" t="s">
        <v>29</v>
      </c>
      <c r="Q229" t="s">
        <v>27</v>
      </c>
      <c r="R229">
        <v>0</v>
      </c>
    </row>
    <row r="230" spans="1:18">
      <c r="A230" t="s">
        <v>730</v>
      </c>
      <c r="B230" t="s">
        <v>731</v>
      </c>
      <c r="C230" t="s">
        <v>732</v>
      </c>
      <c r="D230" t="s">
        <v>57</v>
      </c>
      <c r="E230" t="s">
        <v>34</v>
      </c>
      <c r="F230" t="s">
        <v>73</v>
      </c>
      <c r="G230" s="13">
        <v>45762</v>
      </c>
      <c r="H230">
        <v>175</v>
      </c>
      <c r="I230">
        <v>0</v>
      </c>
      <c r="J230" t="s">
        <v>36</v>
      </c>
      <c r="K230" t="s">
        <v>25</v>
      </c>
      <c r="L230" t="s">
        <v>37</v>
      </c>
      <c r="M230">
        <v>1</v>
      </c>
      <c r="N230" t="s">
        <v>30</v>
      </c>
      <c r="O230" t="s">
        <v>614</v>
      </c>
      <c r="P230" t="s">
        <v>29</v>
      </c>
      <c r="Q230" t="s">
        <v>27</v>
      </c>
      <c r="R230">
        <v>1</v>
      </c>
    </row>
    <row r="231" spans="1:18">
      <c r="A231" t="s">
        <v>733</v>
      </c>
      <c r="B231" t="s">
        <v>734</v>
      </c>
      <c r="C231" t="s">
        <v>735</v>
      </c>
      <c r="D231" t="s">
        <v>41</v>
      </c>
      <c r="E231" t="s">
        <v>22</v>
      </c>
      <c r="F231" t="s">
        <v>43</v>
      </c>
      <c r="G231" s="13">
        <v>45766</v>
      </c>
      <c r="H231">
        <v>91</v>
      </c>
      <c r="I231">
        <v>13.08</v>
      </c>
      <c r="J231" t="s">
        <v>129</v>
      </c>
      <c r="K231" t="s">
        <v>25</v>
      </c>
      <c r="L231" t="s">
        <v>26</v>
      </c>
      <c r="M231">
        <v>17</v>
      </c>
      <c r="N231" t="s">
        <v>27</v>
      </c>
      <c r="O231" t="s">
        <v>614</v>
      </c>
      <c r="P231" t="s">
        <v>29</v>
      </c>
      <c r="Q231" t="s">
        <v>30</v>
      </c>
      <c r="R231">
        <v>0</v>
      </c>
    </row>
    <row r="232" spans="1:18">
      <c r="A232" t="s">
        <v>736</v>
      </c>
      <c r="B232" t="s">
        <v>737</v>
      </c>
      <c r="C232" t="s">
        <v>738</v>
      </c>
      <c r="D232" t="s">
        <v>62</v>
      </c>
      <c r="E232" t="s">
        <v>34</v>
      </c>
      <c r="F232" t="s">
        <v>43</v>
      </c>
      <c r="G232" s="13">
        <v>45771</v>
      </c>
      <c r="H232">
        <v>66</v>
      </c>
      <c r="I232">
        <v>0</v>
      </c>
      <c r="J232" t="s">
        <v>36</v>
      </c>
      <c r="K232" t="s">
        <v>66</v>
      </c>
      <c r="L232" t="s">
        <v>37</v>
      </c>
      <c r="M232">
        <v>4</v>
      </c>
      <c r="N232" t="s">
        <v>27</v>
      </c>
      <c r="O232" t="s">
        <v>614</v>
      </c>
      <c r="P232" t="s">
        <v>29</v>
      </c>
      <c r="Q232" t="s">
        <v>27</v>
      </c>
      <c r="R232">
        <v>0</v>
      </c>
    </row>
    <row r="233" spans="1:18">
      <c r="A233" t="s">
        <v>739</v>
      </c>
      <c r="B233" t="s">
        <v>740</v>
      </c>
      <c r="C233" t="s">
        <v>741</v>
      </c>
      <c r="D233" t="s">
        <v>62</v>
      </c>
      <c r="E233" t="s">
        <v>34</v>
      </c>
      <c r="F233" t="s">
        <v>80</v>
      </c>
      <c r="G233" s="13">
        <v>45759</v>
      </c>
      <c r="H233">
        <v>110</v>
      </c>
      <c r="I233">
        <v>0</v>
      </c>
      <c r="J233" t="s">
        <v>36</v>
      </c>
      <c r="K233" t="s">
        <v>25</v>
      </c>
      <c r="L233" t="s">
        <v>37</v>
      </c>
      <c r="M233">
        <v>40</v>
      </c>
      <c r="N233" t="s">
        <v>27</v>
      </c>
      <c r="O233" t="s">
        <v>614</v>
      </c>
      <c r="P233" t="s">
        <v>29</v>
      </c>
      <c r="Q233" t="s">
        <v>27</v>
      </c>
      <c r="R233">
        <v>0</v>
      </c>
    </row>
    <row r="234" spans="1:18">
      <c r="A234" t="s">
        <v>742</v>
      </c>
      <c r="B234" t="s">
        <v>743</v>
      </c>
      <c r="C234" t="s">
        <v>744</v>
      </c>
      <c r="D234" t="s">
        <v>41</v>
      </c>
      <c r="E234" t="s">
        <v>22</v>
      </c>
      <c r="F234" t="s">
        <v>58</v>
      </c>
      <c r="G234" s="13">
        <v>45748</v>
      </c>
      <c r="H234">
        <v>93</v>
      </c>
      <c r="I234">
        <v>0</v>
      </c>
      <c r="J234" t="s">
        <v>36</v>
      </c>
      <c r="K234" t="s">
        <v>25</v>
      </c>
      <c r="L234" t="s">
        <v>37</v>
      </c>
      <c r="M234">
        <v>47</v>
      </c>
      <c r="N234" t="s">
        <v>27</v>
      </c>
      <c r="O234" t="s">
        <v>614</v>
      </c>
      <c r="P234" t="s">
        <v>29</v>
      </c>
      <c r="Q234" t="s">
        <v>27</v>
      </c>
      <c r="R234">
        <v>0</v>
      </c>
    </row>
    <row r="235" spans="1:18">
      <c r="A235" t="s">
        <v>745</v>
      </c>
      <c r="B235" t="s">
        <v>746</v>
      </c>
      <c r="C235" t="s">
        <v>747</v>
      </c>
      <c r="D235" t="s">
        <v>57</v>
      </c>
      <c r="E235" t="s">
        <v>22</v>
      </c>
      <c r="F235" t="s">
        <v>43</v>
      </c>
      <c r="G235" s="13">
        <v>45759</v>
      </c>
      <c r="H235">
        <v>109</v>
      </c>
      <c r="I235">
        <v>0</v>
      </c>
      <c r="J235" t="s">
        <v>36</v>
      </c>
      <c r="K235" t="s">
        <v>25</v>
      </c>
      <c r="L235" t="s">
        <v>37</v>
      </c>
      <c r="M235">
        <v>40</v>
      </c>
      <c r="N235" t="s">
        <v>27</v>
      </c>
      <c r="O235" t="s">
        <v>614</v>
      </c>
      <c r="P235" t="s">
        <v>29</v>
      </c>
      <c r="Q235" t="s">
        <v>27</v>
      </c>
      <c r="R235">
        <v>0</v>
      </c>
    </row>
    <row r="236" spans="1:18">
      <c r="A236" t="s">
        <v>748</v>
      </c>
      <c r="B236" t="s">
        <v>749</v>
      </c>
      <c r="C236" t="s">
        <v>750</v>
      </c>
      <c r="D236" t="s">
        <v>57</v>
      </c>
      <c r="E236" t="s">
        <v>42</v>
      </c>
      <c r="F236" t="s">
        <v>58</v>
      </c>
      <c r="G236" s="13">
        <v>45776</v>
      </c>
      <c r="H236">
        <v>140</v>
      </c>
      <c r="I236">
        <v>0</v>
      </c>
      <c r="J236" t="s">
        <v>36</v>
      </c>
      <c r="K236" t="s">
        <v>25</v>
      </c>
      <c r="L236" t="s">
        <v>37</v>
      </c>
      <c r="M236">
        <v>1</v>
      </c>
      <c r="N236" t="s">
        <v>27</v>
      </c>
      <c r="O236" t="s">
        <v>614</v>
      </c>
      <c r="P236" t="s">
        <v>29</v>
      </c>
      <c r="Q236" t="s">
        <v>27</v>
      </c>
      <c r="R236">
        <v>0</v>
      </c>
    </row>
    <row r="237" spans="1:18">
      <c r="A237" t="s">
        <v>751</v>
      </c>
      <c r="B237" t="s">
        <v>752</v>
      </c>
      <c r="C237" t="s">
        <v>753</v>
      </c>
      <c r="D237" t="s">
        <v>21</v>
      </c>
      <c r="E237" t="s">
        <v>22</v>
      </c>
      <c r="F237" t="s">
        <v>58</v>
      </c>
      <c r="G237" s="13">
        <v>45798</v>
      </c>
      <c r="H237">
        <v>109</v>
      </c>
      <c r="I237">
        <v>5.48</v>
      </c>
      <c r="J237" t="s">
        <v>24</v>
      </c>
      <c r="K237" t="s">
        <v>45</v>
      </c>
      <c r="L237" t="s">
        <v>26</v>
      </c>
      <c r="M237">
        <v>5</v>
      </c>
      <c r="N237" t="s">
        <v>27</v>
      </c>
      <c r="O237" t="s">
        <v>754</v>
      </c>
      <c r="P237" t="s">
        <v>29</v>
      </c>
      <c r="Q237" t="s">
        <v>30</v>
      </c>
      <c r="R237">
        <v>0</v>
      </c>
    </row>
    <row r="238" spans="1:18">
      <c r="A238" t="s">
        <v>755</v>
      </c>
      <c r="B238" t="s">
        <v>756</v>
      </c>
      <c r="C238" t="s">
        <v>757</v>
      </c>
      <c r="D238" t="s">
        <v>21</v>
      </c>
      <c r="E238" t="s">
        <v>34</v>
      </c>
      <c r="F238" t="s">
        <v>58</v>
      </c>
      <c r="G238" s="13">
        <v>45791</v>
      </c>
      <c r="H238">
        <v>138</v>
      </c>
      <c r="I238">
        <v>0</v>
      </c>
      <c r="J238" t="s">
        <v>36</v>
      </c>
      <c r="K238" t="s">
        <v>66</v>
      </c>
      <c r="L238" t="s">
        <v>37</v>
      </c>
      <c r="M238">
        <v>48</v>
      </c>
      <c r="N238" t="s">
        <v>27</v>
      </c>
      <c r="O238" t="s">
        <v>754</v>
      </c>
      <c r="P238" t="s">
        <v>29</v>
      </c>
      <c r="Q238" t="s">
        <v>27</v>
      </c>
      <c r="R238">
        <v>0</v>
      </c>
    </row>
    <row r="239" spans="1:18">
      <c r="A239" t="s">
        <v>758</v>
      </c>
      <c r="B239" t="s">
        <v>759</v>
      </c>
      <c r="C239" t="s">
        <v>760</v>
      </c>
      <c r="D239" t="s">
        <v>41</v>
      </c>
      <c r="E239" t="s">
        <v>34</v>
      </c>
      <c r="F239" t="s">
        <v>80</v>
      </c>
      <c r="G239" s="13">
        <v>45797</v>
      </c>
      <c r="H239">
        <v>179</v>
      </c>
      <c r="I239">
        <v>0</v>
      </c>
      <c r="J239" t="s">
        <v>36</v>
      </c>
      <c r="K239" t="s">
        <v>25</v>
      </c>
      <c r="L239" t="s">
        <v>37</v>
      </c>
      <c r="M239">
        <v>10</v>
      </c>
      <c r="N239" t="s">
        <v>30</v>
      </c>
      <c r="O239" t="s">
        <v>754</v>
      </c>
      <c r="P239" t="s">
        <v>29</v>
      </c>
      <c r="Q239" t="s">
        <v>27</v>
      </c>
      <c r="R239">
        <v>1</v>
      </c>
    </row>
    <row r="240" spans="1:18">
      <c r="A240" t="s">
        <v>761</v>
      </c>
      <c r="B240" t="s">
        <v>762</v>
      </c>
      <c r="C240" t="s">
        <v>763</v>
      </c>
      <c r="D240" t="s">
        <v>57</v>
      </c>
      <c r="E240" t="s">
        <v>34</v>
      </c>
      <c r="F240" t="s">
        <v>35</v>
      </c>
      <c r="G240" s="13">
        <v>45794</v>
      </c>
      <c r="H240">
        <v>78</v>
      </c>
      <c r="I240">
        <v>0</v>
      </c>
      <c r="J240" t="s">
        <v>36</v>
      </c>
      <c r="K240" t="s">
        <v>25</v>
      </c>
      <c r="L240" t="s">
        <v>37</v>
      </c>
      <c r="M240">
        <v>35</v>
      </c>
      <c r="N240" t="s">
        <v>27</v>
      </c>
      <c r="O240" t="s">
        <v>754</v>
      </c>
      <c r="P240" t="s">
        <v>29</v>
      </c>
      <c r="Q240" t="s">
        <v>27</v>
      </c>
      <c r="R240">
        <v>0</v>
      </c>
    </row>
    <row r="241" spans="1:18">
      <c r="A241" t="s">
        <v>764</v>
      </c>
      <c r="B241" t="s">
        <v>765</v>
      </c>
      <c r="C241" t="s">
        <v>766</v>
      </c>
      <c r="D241" t="s">
        <v>41</v>
      </c>
      <c r="E241" t="s">
        <v>42</v>
      </c>
      <c r="F241" t="s">
        <v>73</v>
      </c>
      <c r="G241" s="13">
        <v>45793</v>
      </c>
      <c r="H241">
        <v>146</v>
      </c>
      <c r="I241">
        <v>0</v>
      </c>
      <c r="J241" t="s">
        <v>36</v>
      </c>
      <c r="K241" t="s">
        <v>45</v>
      </c>
      <c r="L241" t="s">
        <v>37</v>
      </c>
      <c r="M241">
        <v>2</v>
      </c>
      <c r="N241" t="s">
        <v>27</v>
      </c>
      <c r="O241" t="s">
        <v>754</v>
      </c>
      <c r="P241" t="s">
        <v>29</v>
      </c>
      <c r="Q241" t="s">
        <v>27</v>
      </c>
      <c r="R241">
        <v>0</v>
      </c>
    </row>
    <row r="242" spans="1:18">
      <c r="A242" t="s">
        <v>767</v>
      </c>
      <c r="B242" t="s">
        <v>768</v>
      </c>
      <c r="C242" t="s">
        <v>769</v>
      </c>
      <c r="D242" t="s">
        <v>57</v>
      </c>
      <c r="E242" t="s">
        <v>34</v>
      </c>
      <c r="F242" t="s">
        <v>43</v>
      </c>
      <c r="G242" s="13">
        <v>45808</v>
      </c>
      <c r="H242">
        <v>168</v>
      </c>
      <c r="I242">
        <v>0</v>
      </c>
      <c r="J242" t="s">
        <v>36</v>
      </c>
      <c r="K242" t="s">
        <v>25</v>
      </c>
      <c r="L242" t="s">
        <v>37</v>
      </c>
      <c r="M242">
        <v>33</v>
      </c>
      <c r="N242" t="s">
        <v>30</v>
      </c>
      <c r="O242" t="s">
        <v>754</v>
      </c>
      <c r="P242" t="s">
        <v>29</v>
      </c>
      <c r="Q242" t="s">
        <v>27</v>
      </c>
      <c r="R242">
        <v>1</v>
      </c>
    </row>
    <row r="243" spans="1:18">
      <c r="A243" t="s">
        <v>770</v>
      </c>
      <c r="B243" t="s">
        <v>771</v>
      </c>
      <c r="C243" t="s">
        <v>772</v>
      </c>
      <c r="D243" t="s">
        <v>41</v>
      </c>
      <c r="E243" t="s">
        <v>42</v>
      </c>
      <c r="F243" t="s">
        <v>58</v>
      </c>
      <c r="G243" s="13">
        <v>45790</v>
      </c>
      <c r="H243">
        <v>86</v>
      </c>
      <c r="I243">
        <v>0</v>
      </c>
      <c r="J243" t="s">
        <v>36</v>
      </c>
      <c r="K243" t="s">
        <v>25</v>
      </c>
      <c r="L243" t="s">
        <v>37</v>
      </c>
      <c r="M243">
        <v>34</v>
      </c>
      <c r="N243" t="s">
        <v>27</v>
      </c>
      <c r="O243" t="s">
        <v>754</v>
      </c>
      <c r="P243" t="s">
        <v>29</v>
      </c>
      <c r="Q243" t="s">
        <v>27</v>
      </c>
      <c r="R243">
        <v>0</v>
      </c>
    </row>
    <row r="244" spans="1:18">
      <c r="A244" t="s">
        <v>773</v>
      </c>
      <c r="B244" t="s">
        <v>774</v>
      </c>
      <c r="C244" t="s">
        <v>775</v>
      </c>
      <c r="D244" t="s">
        <v>49</v>
      </c>
      <c r="E244" t="s">
        <v>22</v>
      </c>
      <c r="F244" t="s">
        <v>43</v>
      </c>
      <c r="G244" s="13">
        <v>45779</v>
      </c>
      <c r="H244">
        <v>173</v>
      </c>
      <c r="I244">
        <v>0</v>
      </c>
      <c r="J244" t="s">
        <v>36</v>
      </c>
      <c r="K244" t="s">
        <v>25</v>
      </c>
      <c r="L244" t="s">
        <v>37</v>
      </c>
      <c r="M244">
        <v>8</v>
      </c>
      <c r="N244" t="s">
        <v>30</v>
      </c>
      <c r="O244" t="s">
        <v>754</v>
      </c>
      <c r="P244" t="s">
        <v>29</v>
      </c>
      <c r="Q244" t="s">
        <v>27</v>
      </c>
      <c r="R244">
        <v>1</v>
      </c>
    </row>
    <row r="245" spans="1:18">
      <c r="A245" t="s">
        <v>776</v>
      </c>
      <c r="B245" t="s">
        <v>777</v>
      </c>
      <c r="C245" t="s">
        <v>778</v>
      </c>
      <c r="D245" t="s">
        <v>21</v>
      </c>
      <c r="E245" t="s">
        <v>22</v>
      </c>
      <c r="F245" t="s">
        <v>43</v>
      </c>
      <c r="G245" s="13">
        <v>45804</v>
      </c>
      <c r="H245">
        <v>167</v>
      </c>
      <c r="I245">
        <v>0</v>
      </c>
      <c r="J245" t="s">
        <v>36</v>
      </c>
      <c r="K245" t="s">
        <v>25</v>
      </c>
      <c r="L245" t="s">
        <v>37</v>
      </c>
      <c r="M245">
        <v>28</v>
      </c>
      <c r="N245" t="s">
        <v>30</v>
      </c>
      <c r="O245" t="s">
        <v>754</v>
      </c>
      <c r="P245" t="s">
        <v>29</v>
      </c>
      <c r="Q245" t="s">
        <v>27</v>
      </c>
      <c r="R245">
        <v>1</v>
      </c>
    </row>
    <row r="246" spans="1:18">
      <c r="A246" t="s">
        <v>779</v>
      </c>
      <c r="B246" t="s">
        <v>780</v>
      </c>
      <c r="C246" t="s">
        <v>781</v>
      </c>
      <c r="D246" t="s">
        <v>57</v>
      </c>
      <c r="E246" t="s">
        <v>42</v>
      </c>
      <c r="F246" t="s">
        <v>23</v>
      </c>
      <c r="G246" s="13">
        <v>45790</v>
      </c>
      <c r="H246">
        <v>121</v>
      </c>
      <c r="I246">
        <v>0</v>
      </c>
      <c r="J246" t="s">
        <v>36</v>
      </c>
      <c r="K246" t="s">
        <v>25</v>
      </c>
      <c r="L246" t="s">
        <v>37</v>
      </c>
      <c r="M246">
        <v>14</v>
      </c>
      <c r="N246" t="s">
        <v>27</v>
      </c>
      <c r="O246" t="s">
        <v>754</v>
      </c>
      <c r="P246" t="s">
        <v>29</v>
      </c>
      <c r="Q246" t="s">
        <v>27</v>
      </c>
      <c r="R246">
        <v>0</v>
      </c>
    </row>
    <row r="247" spans="1:18">
      <c r="A247" t="s">
        <v>782</v>
      </c>
      <c r="B247" t="s">
        <v>783</v>
      </c>
      <c r="C247" t="s">
        <v>784</v>
      </c>
      <c r="D247" t="s">
        <v>62</v>
      </c>
      <c r="E247" t="s">
        <v>42</v>
      </c>
      <c r="F247" t="s">
        <v>23</v>
      </c>
      <c r="G247" s="13">
        <v>45800</v>
      </c>
      <c r="H247">
        <v>103</v>
      </c>
      <c r="I247">
        <v>0</v>
      </c>
      <c r="J247" t="s">
        <v>36</v>
      </c>
      <c r="K247" t="s">
        <v>25</v>
      </c>
      <c r="L247" t="s">
        <v>37</v>
      </c>
      <c r="M247">
        <v>11</v>
      </c>
      <c r="N247" t="s">
        <v>27</v>
      </c>
      <c r="O247" t="s">
        <v>754</v>
      </c>
      <c r="P247" t="s">
        <v>29</v>
      </c>
      <c r="Q247" t="s">
        <v>27</v>
      </c>
      <c r="R247">
        <v>0</v>
      </c>
    </row>
    <row r="248" spans="1:18">
      <c r="A248" t="s">
        <v>785</v>
      </c>
      <c r="B248" t="s">
        <v>786</v>
      </c>
      <c r="C248" t="s">
        <v>787</v>
      </c>
      <c r="D248" t="s">
        <v>62</v>
      </c>
      <c r="E248" t="s">
        <v>42</v>
      </c>
      <c r="F248" t="s">
        <v>80</v>
      </c>
      <c r="G248" s="13">
        <v>45795</v>
      </c>
      <c r="H248">
        <v>93</v>
      </c>
      <c r="I248">
        <v>0</v>
      </c>
      <c r="J248" t="s">
        <v>36</v>
      </c>
      <c r="K248" t="s">
        <v>25</v>
      </c>
      <c r="L248" t="s">
        <v>37</v>
      </c>
      <c r="M248">
        <v>26</v>
      </c>
      <c r="N248" t="s">
        <v>27</v>
      </c>
      <c r="O248" t="s">
        <v>754</v>
      </c>
      <c r="P248" t="s">
        <v>29</v>
      </c>
      <c r="Q248" t="s">
        <v>27</v>
      </c>
      <c r="R248">
        <v>0</v>
      </c>
    </row>
    <row r="249" spans="1:18">
      <c r="A249" t="s">
        <v>788</v>
      </c>
      <c r="B249" t="s">
        <v>789</v>
      </c>
      <c r="C249" t="s">
        <v>790</v>
      </c>
      <c r="D249" t="s">
        <v>49</v>
      </c>
      <c r="E249" t="s">
        <v>42</v>
      </c>
      <c r="F249" t="s">
        <v>35</v>
      </c>
      <c r="G249" s="13">
        <v>45788</v>
      </c>
      <c r="H249">
        <v>73</v>
      </c>
      <c r="I249">
        <v>0</v>
      </c>
      <c r="J249" t="s">
        <v>36</v>
      </c>
      <c r="K249" t="s">
        <v>25</v>
      </c>
      <c r="L249" t="s">
        <v>37</v>
      </c>
      <c r="M249">
        <v>46</v>
      </c>
      <c r="N249" t="s">
        <v>27</v>
      </c>
      <c r="O249" t="s">
        <v>754</v>
      </c>
      <c r="P249" t="s">
        <v>29</v>
      </c>
      <c r="Q249" t="s">
        <v>27</v>
      </c>
      <c r="R249">
        <v>0</v>
      </c>
    </row>
    <row r="250" spans="1:18">
      <c r="A250" t="s">
        <v>791</v>
      </c>
      <c r="B250" t="s">
        <v>792</v>
      </c>
      <c r="C250" t="s">
        <v>793</v>
      </c>
      <c r="D250" t="s">
        <v>49</v>
      </c>
      <c r="E250" t="s">
        <v>22</v>
      </c>
      <c r="F250" t="s">
        <v>73</v>
      </c>
      <c r="G250" s="13">
        <v>45799</v>
      </c>
      <c r="H250">
        <v>164</v>
      </c>
      <c r="I250">
        <v>0</v>
      </c>
      <c r="J250" t="s">
        <v>36</v>
      </c>
      <c r="K250" t="s">
        <v>53</v>
      </c>
      <c r="L250" t="s">
        <v>37</v>
      </c>
      <c r="M250">
        <v>40</v>
      </c>
      <c r="N250" t="s">
        <v>30</v>
      </c>
      <c r="O250" t="s">
        <v>754</v>
      </c>
      <c r="P250" t="s">
        <v>29</v>
      </c>
      <c r="Q250" t="s">
        <v>27</v>
      </c>
      <c r="R250">
        <v>1</v>
      </c>
    </row>
    <row r="251" spans="1:18">
      <c r="A251" t="s">
        <v>794</v>
      </c>
      <c r="B251" t="s">
        <v>795</v>
      </c>
      <c r="C251" t="s">
        <v>796</v>
      </c>
      <c r="D251" t="s">
        <v>57</v>
      </c>
      <c r="E251" t="s">
        <v>22</v>
      </c>
      <c r="F251" t="s">
        <v>58</v>
      </c>
      <c r="G251" s="13">
        <v>45788</v>
      </c>
      <c r="H251">
        <v>117</v>
      </c>
      <c r="I251">
        <v>0</v>
      </c>
      <c r="J251" t="s">
        <v>36</v>
      </c>
      <c r="K251" t="s">
        <v>66</v>
      </c>
      <c r="L251" t="s">
        <v>37</v>
      </c>
      <c r="M251">
        <v>11</v>
      </c>
      <c r="N251" t="s">
        <v>27</v>
      </c>
      <c r="O251" t="s">
        <v>754</v>
      </c>
      <c r="P251" t="s">
        <v>29</v>
      </c>
      <c r="Q251" t="s">
        <v>27</v>
      </c>
      <c r="R251">
        <v>0</v>
      </c>
    </row>
    <row r="252" spans="1:18">
      <c r="A252" t="s">
        <v>797</v>
      </c>
      <c r="B252" t="s">
        <v>798</v>
      </c>
      <c r="C252" t="s">
        <v>799</v>
      </c>
      <c r="D252" t="s">
        <v>57</v>
      </c>
      <c r="E252" t="s">
        <v>34</v>
      </c>
      <c r="F252" t="s">
        <v>58</v>
      </c>
      <c r="G252" s="13">
        <v>45781</v>
      </c>
      <c r="H252">
        <v>139</v>
      </c>
      <c r="I252">
        <v>0</v>
      </c>
      <c r="J252" t="s">
        <v>36</v>
      </c>
      <c r="K252" t="s">
        <v>25</v>
      </c>
      <c r="L252" t="s">
        <v>37</v>
      </c>
      <c r="M252">
        <v>41</v>
      </c>
      <c r="N252" t="s">
        <v>27</v>
      </c>
      <c r="O252" t="s">
        <v>754</v>
      </c>
      <c r="P252" t="s">
        <v>29</v>
      </c>
      <c r="Q252" t="s">
        <v>27</v>
      </c>
      <c r="R252">
        <v>0</v>
      </c>
    </row>
    <row r="253" spans="1:18">
      <c r="A253" t="s">
        <v>800</v>
      </c>
      <c r="B253" t="s">
        <v>801</v>
      </c>
      <c r="C253" t="s">
        <v>802</v>
      </c>
      <c r="D253" t="s">
        <v>62</v>
      </c>
      <c r="E253" t="s">
        <v>42</v>
      </c>
      <c r="F253" t="s">
        <v>58</v>
      </c>
      <c r="G253" s="13">
        <v>45804</v>
      </c>
      <c r="H253">
        <v>156</v>
      </c>
      <c r="I253">
        <v>0</v>
      </c>
      <c r="J253" t="s">
        <v>36</v>
      </c>
      <c r="K253" t="s">
        <v>25</v>
      </c>
      <c r="L253" t="s">
        <v>26</v>
      </c>
      <c r="M253">
        <v>50</v>
      </c>
      <c r="N253" t="s">
        <v>30</v>
      </c>
      <c r="O253" t="s">
        <v>754</v>
      </c>
      <c r="P253" t="s">
        <v>29</v>
      </c>
      <c r="Q253" t="s">
        <v>27</v>
      </c>
      <c r="R253">
        <v>1</v>
      </c>
    </row>
    <row r="254" spans="1:18">
      <c r="A254" t="s">
        <v>803</v>
      </c>
      <c r="B254" t="s">
        <v>804</v>
      </c>
      <c r="C254" t="s">
        <v>805</v>
      </c>
      <c r="D254" t="s">
        <v>49</v>
      </c>
      <c r="E254" t="s">
        <v>22</v>
      </c>
      <c r="F254" t="s">
        <v>73</v>
      </c>
      <c r="G254" s="13">
        <v>45782</v>
      </c>
      <c r="H254">
        <v>63</v>
      </c>
      <c r="I254">
        <v>0</v>
      </c>
      <c r="J254" t="s">
        <v>36</v>
      </c>
      <c r="K254" t="s">
        <v>25</v>
      </c>
      <c r="L254" t="s">
        <v>26</v>
      </c>
      <c r="M254">
        <v>43</v>
      </c>
      <c r="N254" t="s">
        <v>27</v>
      </c>
      <c r="O254" t="s">
        <v>754</v>
      </c>
      <c r="P254" t="s">
        <v>29</v>
      </c>
      <c r="Q254" t="s">
        <v>27</v>
      </c>
      <c r="R254">
        <v>0</v>
      </c>
    </row>
    <row r="255" spans="1:18">
      <c r="A255" t="s">
        <v>806</v>
      </c>
      <c r="B255" t="s">
        <v>807</v>
      </c>
      <c r="C255" t="s">
        <v>808</v>
      </c>
      <c r="D255" t="s">
        <v>62</v>
      </c>
      <c r="E255" t="s">
        <v>22</v>
      </c>
      <c r="F255" t="s">
        <v>58</v>
      </c>
      <c r="G255" s="13">
        <v>45782</v>
      </c>
      <c r="H255">
        <v>79</v>
      </c>
      <c r="I255">
        <v>0</v>
      </c>
      <c r="J255" t="s">
        <v>36</v>
      </c>
      <c r="K255" t="s">
        <v>25</v>
      </c>
      <c r="L255" t="s">
        <v>37</v>
      </c>
      <c r="M255">
        <v>49</v>
      </c>
      <c r="N255" t="s">
        <v>27</v>
      </c>
      <c r="O255" t="s">
        <v>754</v>
      </c>
      <c r="P255" t="s">
        <v>29</v>
      </c>
      <c r="Q255" t="s">
        <v>27</v>
      </c>
      <c r="R255">
        <v>0</v>
      </c>
    </row>
    <row r="256" spans="1:18">
      <c r="A256" t="s">
        <v>809</v>
      </c>
      <c r="B256" t="s">
        <v>810</v>
      </c>
      <c r="C256" t="s">
        <v>811</v>
      </c>
      <c r="D256" t="s">
        <v>62</v>
      </c>
      <c r="E256" t="s">
        <v>22</v>
      </c>
      <c r="F256" t="s">
        <v>80</v>
      </c>
      <c r="G256" s="13">
        <v>45779</v>
      </c>
      <c r="H256">
        <v>175</v>
      </c>
      <c r="I256">
        <v>27.19</v>
      </c>
      <c r="J256" t="s">
        <v>129</v>
      </c>
      <c r="K256" t="s">
        <v>25</v>
      </c>
      <c r="L256" t="s">
        <v>26</v>
      </c>
      <c r="M256">
        <v>1</v>
      </c>
      <c r="N256" t="s">
        <v>30</v>
      </c>
      <c r="O256" t="s">
        <v>754</v>
      </c>
      <c r="P256" t="s">
        <v>29</v>
      </c>
      <c r="Q256" t="s">
        <v>30</v>
      </c>
      <c r="R256">
        <v>1</v>
      </c>
    </row>
    <row r="257" spans="1:18">
      <c r="A257" t="s">
        <v>812</v>
      </c>
      <c r="B257" t="s">
        <v>813</v>
      </c>
      <c r="C257" t="s">
        <v>814</v>
      </c>
      <c r="D257" t="s">
        <v>41</v>
      </c>
      <c r="E257" t="s">
        <v>34</v>
      </c>
      <c r="F257" t="s">
        <v>80</v>
      </c>
      <c r="G257" s="13">
        <v>45779</v>
      </c>
      <c r="H257">
        <v>123</v>
      </c>
      <c r="I257">
        <v>26.85</v>
      </c>
      <c r="J257" t="s">
        <v>44</v>
      </c>
      <c r="K257" t="s">
        <v>45</v>
      </c>
      <c r="L257" t="s">
        <v>26</v>
      </c>
      <c r="M257">
        <v>32</v>
      </c>
      <c r="N257" t="s">
        <v>27</v>
      </c>
      <c r="O257" t="s">
        <v>754</v>
      </c>
      <c r="P257" t="s">
        <v>29</v>
      </c>
      <c r="Q257" t="s">
        <v>30</v>
      </c>
      <c r="R257">
        <v>0</v>
      </c>
    </row>
    <row r="258" spans="1:18">
      <c r="A258" t="s">
        <v>815</v>
      </c>
      <c r="B258" t="s">
        <v>816</v>
      </c>
      <c r="C258" t="s">
        <v>817</v>
      </c>
      <c r="D258" t="s">
        <v>49</v>
      </c>
      <c r="E258" t="s">
        <v>42</v>
      </c>
      <c r="F258" t="s">
        <v>35</v>
      </c>
      <c r="G258" s="13">
        <v>45787</v>
      </c>
      <c r="H258">
        <v>107</v>
      </c>
      <c r="I258">
        <v>0</v>
      </c>
      <c r="J258" t="s">
        <v>36</v>
      </c>
      <c r="K258" t="s">
        <v>53</v>
      </c>
      <c r="L258" t="s">
        <v>37</v>
      </c>
      <c r="M258">
        <v>13</v>
      </c>
      <c r="N258" t="s">
        <v>27</v>
      </c>
      <c r="O258" t="s">
        <v>754</v>
      </c>
      <c r="P258" t="s">
        <v>29</v>
      </c>
      <c r="Q258" t="s">
        <v>27</v>
      </c>
      <c r="R258">
        <v>0</v>
      </c>
    </row>
    <row r="259" spans="1:18">
      <c r="A259" t="s">
        <v>818</v>
      </c>
      <c r="B259" t="s">
        <v>819</v>
      </c>
      <c r="C259" t="s">
        <v>820</v>
      </c>
      <c r="D259" t="s">
        <v>49</v>
      </c>
      <c r="E259" t="s">
        <v>42</v>
      </c>
      <c r="F259" t="s">
        <v>73</v>
      </c>
      <c r="G259" s="13">
        <v>45795</v>
      </c>
      <c r="H259">
        <v>90</v>
      </c>
      <c r="I259">
        <v>0</v>
      </c>
      <c r="J259" t="s">
        <v>36</v>
      </c>
      <c r="K259" t="s">
        <v>25</v>
      </c>
      <c r="L259" t="s">
        <v>37</v>
      </c>
      <c r="M259">
        <v>3</v>
      </c>
      <c r="N259" t="s">
        <v>27</v>
      </c>
      <c r="O259" t="s">
        <v>754</v>
      </c>
      <c r="P259" t="s">
        <v>29</v>
      </c>
      <c r="Q259" t="s">
        <v>27</v>
      </c>
      <c r="R259">
        <v>0</v>
      </c>
    </row>
    <row r="260" spans="1:18">
      <c r="A260" t="s">
        <v>821</v>
      </c>
      <c r="B260" t="s">
        <v>822</v>
      </c>
      <c r="C260" t="s">
        <v>823</v>
      </c>
      <c r="D260" t="s">
        <v>41</v>
      </c>
      <c r="E260" t="s">
        <v>42</v>
      </c>
      <c r="F260" t="s">
        <v>23</v>
      </c>
      <c r="G260" s="13">
        <v>45799</v>
      </c>
      <c r="H260">
        <v>64</v>
      </c>
      <c r="I260">
        <v>0</v>
      </c>
      <c r="J260" t="s">
        <v>36</v>
      </c>
      <c r="K260" t="s">
        <v>25</v>
      </c>
      <c r="L260" t="s">
        <v>37</v>
      </c>
      <c r="M260">
        <v>50</v>
      </c>
      <c r="N260" t="s">
        <v>27</v>
      </c>
      <c r="O260" t="s">
        <v>754</v>
      </c>
      <c r="P260" t="s">
        <v>29</v>
      </c>
      <c r="Q260" t="s">
        <v>27</v>
      </c>
      <c r="R260">
        <v>0</v>
      </c>
    </row>
    <row r="261" spans="1:18">
      <c r="A261" t="s">
        <v>824</v>
      </c>
      <c r="B261" t="s">
        <v>825</v>
      </c>
      <c r="C261" t="s">
        <v>826</v>
      </c>
      <c r="D261" t="s">
        <v>57</v>
      </c>
      <c r="E261" t="s">
        <v>42</v>
      </c>
      <c r="F261" t="s">
        <v>73</v>
      </c>
      <c r="G261" s="13">
        <v>45787</v>
      </c>
      <c r="H261">
        <v>114</v>
      </c>
      <c r="I261">
        <v>0</v>
      </c>
      <c r="J261" t="s">
        <v>36</v>
      </c>
      <c r="K261" t="s">
        <v>53</v>
      </c>
      <c r="L261" t="s">
        <v>37</v>
      </c>
      <c r="M261">
        <v>22</v>
      </c>
      <c r="N261" t="s">
        <v>27</v>
      </c>
      <c r="O261" t="s">
        <v>754</v>
      </c>
      <c r="P261" t="s">
        <v>29</v>
      </c>
      <c r="Q261" t="s">
        <v>27</v>
      </c>
      <c r="R261">
        <v>0</v>
      </c>
    </row>
    <row r="262" spans="1:18">
      <c r="A262" t="s">
        <v>827</v>
      </c>
      <c r="B262" t="s">
        <v>828</v>
      </c>
      <c r="C262" t="s">
        <v>829</v>
      </c>
      <c r="D262" t="s">
        <v>57</v>
      </c>
      <c r="E262" t="s">
        <v>34</v>
      </c>
      <c r="F262" t="s">
        <v>58</v>
      </c>
      <c r="G262" s="13">
        <v>45798</v>
      </c>
      <c r="H262">
        <v>164</v>
      </c>
      <c r="I262">
        <v>0</v>
      </c>
      <c r="J262" t="s">
        <v>36</v>
      </c>
      <c r="K262" t="s">
        <v>45</v>
      </c>
      <c r="L262" t="s">
        <v>26</v>
      </c>
      <c r="M262">
        <v>39</v>
      </c>
      <c r="N262" t="s">
        <v>30</v>
      </c>
      <c r="O262" t="s">
        <v>754</v>
      </c>
      <c r="P262" t="s">
        <v>29</v>
      </c>
      <c r="Q262" t="s">
        <v>27</v>
      </c>
      <c r="R262">
        <v>1</v>
      </c>
    </row>
    <row r="263" spans="1:18">
      <c r="A263" t="s">
        <v>830</v>
      </c>
      <c r="B263" t="s">
        <v>831</v>
      </c>
      <c r="C263" t="s">
        <v>832</v>
      </c>
      <c r="D263" t="s">
        <v>57</v>
      </c>
      <c r="E263" t="s">
        <v>22</v>
      </c>
      <c r="F263" t="s">
        <v>23</v>
      </c>
      <c r="G263" s="13">
        <v>45802</v>
      </c>
      <c r="H263">
        <v>172</v>
      </c>
      <c r="I263">
        <v>0</v>
      </c>
      <c r="J263" t="s">
        <v>36</v>
      </c>
      <c r="K263" t="s">
        <v>25</v>
      </c>
      <c r="L263" t="s">
        <v>37</v>
      </c>
      <c r="M263">
        <v>50</v>
      </c>
      <c r="N263" t="s">
        <v>30</v>
      </c>
      <c r="O263" t="s">
        <v>754</v>
      </c>
      <c r="P263" t="s">
        <v>29</v>
      </c>
      <c r="Q263" t="s">
        <v>27</v>
      </c>
      <c r="R263">
        <v>1</v>
      </c>
    </row>
    <row r="264" spans="1:18">
      <c r="A264" t="s">
        <v>833</v>
      </c>
      <c r="B264" t="s">
        <v>834</v>
      </c>
      <c r="C264" t="s">
        <v>835</v>
      </c>
      <c r="D264" t="s">
        <v>57</v>
      </c>
      <c r="E264" t="s">
        <v>42</v>
      </c>
      <c r="F264" t="s">
        <v>43</v>
      </c>
      <c r="G264" s="13">
        <v>45793</v>
      </c>
      <c r="H264">
        <v>166</v>
      </c>
      <c r="I264">
        <v>0</v>
      </c>
      <c r="J264" t="s">
        <v>36</v>
      </c>
      <c r="K264" t="s">
        <v>25</v>
      </c>
      <c r="L264" t="s">
        <v>37</v>
      </c>
      <c r="M264">
        <v>27</v>
      </c>
      <c r="N264" t="s">
        <v>30</v>
      </c>
      <c r="O264" t="s">
        <v>754</v>
      </c>
      <c r="P264" t="s">
        <v>29</v>
      </c>
      <c r="Q264" t="s">
        <v>27</v>
      </c>
      <c r="R264">
        <v>1</v>
      </c>
    </row>
    <row r="265" spans="1:18">
      <c r="A265" t="s">
        <v>836</v>
      </c>
      <c r="B265" t="s">
        <v>837</v>
      </c>
      <c r="C265" t="s">
        <v>838</v>
      </c>
      <c r="D265" t="s">
        <v>49</v>
      </c>
      <c r="E265" t="s">
        <v>22</v>
      </c>
      <c r="F265" t="s">
        <v>43</v>
      </c>
      <c r="G265" s="13">
        <v>45791</v>
      </c>
      <c r="H265">
        <v>98</v>
      </c>
      <c r="I265">
        <v>0</v>
      </c>
      <c r="J265" t="s">
        <v>36</v>
      </c>
      <c r="K265" t="s">
        <v>45</v>
      </c>
      <c r="L265" t="s">
        <v>37</v>
      </c>
      <c r="M265">
        <v>7</v>
      </c>
      <c r="N265" t="s">
        <v>27</v>
      </c>
      <c r="O265" t="s">
        <v>754</v>
      </c>
      <c r="P265" t="s">
        <v>29</v>
      </c>
      <c r="Q265" t="s">
        <v>27</v>
      </c>
      <c r="R265">
        <v>0</v>
      </c>
    </row>
    <row r="266" spans="1:18">
      <c r="A266" t="s">
        <v>839</v>
      </c>
      <c r="B266" t="s">
        <v>840</v>
      </c>
      <c r="C266" t="s">
        <v>841</v>
      </c>
      <c r="D266" t="s">
        <v>57</v>
      </c>
      <c r="E266" t="s">
        <v>42</v>
      </c>
      <c r="F266" t="s">
        <v>58</v>
      </c>
      <c r="G266" s="13">
        <v>45781</v>
      </c>
      <c r="H266">
        <v>63</v>
      </c>
      <c r="I266">
        <v>0</v>
      </c>
      <c r="J266" t="s">
        <v>36</v>
      </c>
      <c r="K266" t="s">
        <v>25</v>
      </c>
      <c r="L266" t="s">
        <v>37</v>
      </c>
      <c r="M266">
        <v>13</v>
      </c>
      <c r="N266" t="s">
        <v>27</v>
      </c>
      <c r="O266" t="s">
        <v>754</v>
      </c>
      <c r="P266" t="s">
        <v>29</v>
      </c>
      <c r="Q266" t="s">
        <v>27</v>
      </c>
      <c r="R266">
        <v>0</v>
      </c>
    </row>
    <row r="267" spans="1:18">
      <c r="A267" t="s">
        <v>842</v>
      </c>
      <c r="B267" t="s">
        <v>843</v>
      </c>
      <c r="C267" t="s">
        <v>844</v>
      </c>
      <c r="D267" t="s">
        <v>41</v>
      </c>
      <c r="E267" t="s">
        <v>42</v>
      </c>
      <c r="F267" t="s">
        <v>43</v>
      </c>
      <c r="G267" s="13">
        <v>45797</v>
      </c>
      <c r="H267">
        <v>147</v>
      </c>
      <c r="I267">
        <v>32.049999999999997</v>
      </c>
      <c r="J267" t="s">
        <v>173</v>
      </c>
      <c r="K267" t="s">
        <v>53</v>
      </c>
      <c r="L267" t="s">
        <v>26</v>
      </c>
      <c r="M267">
        <v>11</v>
      </c>
      <c r="N267" t="s">
        <v>27</v>
      </c>
      <c r="O267" t="s">
        <v>754</v>
      </c>
      <c r="P267" t="s">
        <v>29</v>
      </c>
      <c r="Q267" t="s">
        <v>30</v>
      </c>
      <c r="R267">
        <v>0</v>
      </c>
    </row>
    <row r="268" spans="1:18">
      <c r="A268" t="s">
        <v>845</v>
      </c>
      <c r="B268" t="s">
        <v>846</v>
      </c>
      <c r="C268" t="s">
        <v>847</v>
      </c>
      <c r="D268" t="s">
        <v>41</v>
      </c>
      <c r="E268" t="s">
        <v>22</v>
      </c>
      <c r="F268" t="s">
        <v>80</v>
      </c>
      <c r="G268" s="13">
        <v>45778</v>
      </c>
      <c r="H268">
        <v>116</v>
      </c>
      <c r="I268">
        <v>0</v>
      </c>
      <c r="J268" t="s">
        <v>36</v>
      </c>
      <c r="K268" t="s">
        <v>45</v>
      </c>
      <c r="L268" t="s">
        <v>37</v>
      </c>
      <c r="M268">
        <v>30</v>
      </c>
      <c r="N268" t="s">
        <v>27</v>
      </c>
      <c r="O268" t="s">
        <v>754</v>
      </c>
      <c r="P268" t="s">
        <v>29</v>
      </c>
      <c r="Q268" t="s">
        <v>27</v>
      </c>
      <c r="R268">
        <v>0</v>
      </c>
    </row>
    <row r="269" spans="1:18">
      <c r="A269" t="s">
        <v>848</v>
      </c>
      <c r="B269" t="s">
        <v>849</v>
      </c>
      <c r="C269" t="s">
        <v>850</v>
      </c>
      <c r="D269" t="s">
        <v>62</v>
      </c>
      <c r="E269" t="s">
        <v>34</v>
      </c>
      <c r="F269" t="s">
        <v>23</v>
      </c>
      <c r="G269" s="13">
        <v>45794</v>
      </c>
      <c r="H269">
        <v>115</v>
      </c>
      <c r="I269">
        <v>0</v>
      </c>
      <c r="J269" t="s">
        <v>36</v>
      </c>
      <c r="K269" t="s">
        <v>45</v>
      </c>
      <c r="L269" t="s">
        <v>37</v>
      </c>
      <c r="M269">
        <v>42</v>
      </c>
      <c r="N269" t="s">
        <v>27</v>
      </c>
      <c r="O269" t="s">
        <v>754</v>
      </c>
      <c r="P269" t="s">
        <v>29</v>
      </c>
      <c r="Q269" t="s">
        <v>27</v>
      </c>
      <c r="R269">
        <v>0</v>
      </c>
    </row>
    <row r="270" spans="1:18">
      <c r="A270" t="s">
        <v>851</v>
      </c>
      <c r="B270" t="s">
        <v>852</v>
      </c>
      <c r="C270" t="s">
        <v>853</v>
      </c>
      <c r="D270" t="s">
        <v>21</v>
      </c>
      <c r="E270" t="s">
        <v>22</v>
      </c>
      <c r="F270" t="s">
        <v>43</v>
      </c>
      <c r="G270" s="13">
        <v>45792</v>
      </c>
      <c r="H270">
        <v>171</v>
      </c>
      <c r="I270">
        <v>18.03</v>
      </c>
      <c r="J270" t="s">
        <v>129</v>
      </c>
      <c r="K270" t="s">
        <v>25</v>
      </c>
      <c r="L270" t="s">
        <v>26</v>
      </c>
      <c r="M270">
        <v>43</v>
      </c>
      <c r="N270" t="s">
        <v>30</v>
      </c>
      <c r="O270" t="s">
        <v>754</v>
      </c>
      <c r="P270" t="s">
        <v>29</v>
      </c>
      <c r="Q270" t="s">
        <v>30</v>
      </c>
      <c r="R270">
        <v>1</v>
      </c>
    </row>
    <row r="271" spans="1:18">
      <c r="A271" t="s">
        <v>854</v>
      </c>
      <c r="B271" t="s">
        <v>855</v>
      </c>
      <c r="C271" t="s">
        <v>856</v>
      </c>
      <c r="D271" t="s">
        <v>57</v>
      </c>
      <c r="E271" t="s">
        <v>34</v>
      </c>
      <c r="F271" t="s">
        <v>43</v>
      </c>
      <c r="G271" s="13">
        <v>45782</v>
      </c>
      <c r="H271">
        <v>94</v>
      </c>
      <c r="I271">
        <v>0</v>
      </c>
      <c r="J271" t="s">
        <v>36</v>
      </c>
      <c r="K271" t="s">
        <v>66</v>
      </c>
      <c r="L271" t="s">
        <v>37</v>
      </c>
      <c r="M271">
        <v>23</v>
      </c>
      <c r="N271" t="s">
        <v>27</v>
      </c>
      <c r="O271" t="s">
        <v>754</v>
      </c>
      <c r="P271" t="s">
        <v>29</v>
      </c>
      <c r="Q271" t="s">
        <v>27</v>
      </c>
      <c r="R271">
        <v>0</v>
      </c>
    </row>
    <row r="272" spans="1:18">
      <c r="A272" t="s">
        <v>857</v>
      </c>
      <c r="B272" t="s">
        <v>858</v>
      </c>
      <c r="C272" t="s">
        <v>859</v>
      </c>
      <c r="D272" t="s">
        <v>57</v>
      </c>
      <c r="E272" t="s">
        <v>42</v>
      </c>
      <c r="F272" t="s">
        <v>35</v>
      </c>
      <c r="G272" s="13">
        <v>45794</v>
      </c>
      <c r="H272">
        <v>153</v>
      </c>
      <c r="I272">
        <v>0</v>
      </c>
      <c r="J272" t="s">
        <v>36</v>
      </c>
      <c r="K272" t="s">
        <v>25</v>
      </c>
      <c r="L272" t="s">
        <v>37</v>
      </c>
      <c r="M272">
        <v>45</v>
      </c>
      <c r="N272" t="s">
        <v>30</v>
      </c>
      <c r="O272" t="s">
        <v>754</v>
      </c>
      <c r="P272" t="s">
        <v>29</v>
      </c>
      <c r="Q272" t="s">
        <v>27</v>
      </c>
      <c r="R272">
        <v>1</v>
      </c>
    </row>
    <row r="273" spans="1:18">
      <c r="A273" t="s">
        <v>860</v>
      </c>
      <c r="B273" t="s">
        <v>861</v>
      </c>
      <c r="C273" t="s">
        <v>862</v>
      </c>
      <c r="D273" t="s">
        <v>41</v>
      </c>
      <c r="E273" t="s">
        <v>42</v>
      </c>
      <c r="F273" t="s">
        <v>73</v>
      </c>
      <c r="G273" s="13">
        <v>45780</v>
      </c>
      <c r="H273">
        <v>95</v>
      </c>
      <c r="I273">
        <v>35.92</v>
      </c>
      <c r="J273" t="s">
        <v>129</v>
      </c>
      <c r="K273" t="s">
        <v>66</v>
      </c>
      <c r="L273" t="s">
        <v>26</v>
      </c>
      <c r="M273">
        <v>6</v>
      </c>
      <c r="N273" t="s">
        <v>27</v>
      </c>
      <c r="O273" t="s">
        <v>754</v>
      </c>
      <c r="P273" t="s">
        <v>29</v>
      </c>
      <c r="Q273" t="s">
        <v>30</v>
      </c>
      <c r="R273">
        <v>0</v>
      </c>
    </row>
    <row r="274" spans="1:18">
      <c r="A274" t="s">
        <v>863</v>
      </c>
      <c r="B274" t="s">
        <v>864</v>
      </c>
      <c r="C274" t="s">
        <v>441</v>
      </c>
      <c r="D274" t="s">
        <v>41</v>
      </c>
      <c r="E274" t="s">
        <v>22</v>
      </c>
      <c r="F274" t="s">
        <v>35</v>
      </c>
      <c r="G274" s="13">
        <v>45806</v>
      </c>
      <c r="H274">
        <v>111</v>
      </c>
      <c r="I274">
        <v>0</v>
      </c>
      <c r="J274" t="s">
        <v>36</v>
      </c>
      <c r="K274" t="s">
        <v>25</v>
      </c>
      <c r="L274" t="s">
        <v>37</v>
      </c>
      <c r="M274">
        <v>26</v>
      </c>
      <c r="N274" t="s">
        <v>27</v>
      </c>
      <c r="O274" t="s">
        <v>754</v>
      </c>
      <c r="P274" t="s">
        <v>29</v>
      </c>
      <c r="Q274" t="s">
        <v>27</v>
      </c>
      <c r="R274">
        <v>0</v>
      </c>
    </row>
    <row r="275" spans="1:18">
      <c r="A275" t="s">
        <v>865</v>
      </c>
      <c r="B275" t="s">
        <v>866</v>
      </c>
      <c r="C275" t="s">
        <v>867</v>
      </c>
      <c r="D275" t="s">
        <v>49</v>
      </c>
      <c r="E275" t="s">
        <v>22</v>
      </c>
      <c r="F275" t="s">
        <v>73</v>
      </c>
      <c r="G275" s="13">
        <v>45801</v>
      </c>
      <c r="H275">
        <v>84</v>
      </c>
      <c r="I275">
        <v>0</v>
      </c>
      <c r="J275" t="s">
        <v>36</v>
      </c>
      <c r="K275" t="s">
        <v>25</v>
      </c>
      <c r="L275" t="s">
        <v>37</v>
      </c>
      <c r="M275">
        <v>36</v>
      </c>
      <c r="N275" t="s">
        <v>27</v>
      </c>
      <c r="O275" t="s">
        <v>754</v>
      </c>
      <c r="P275" t="s">
        <v>29</v>
      </c>
      <c r="Q275" t="s">
        <v>27</v>
      </c>
      <c r="R275">
        <v>0</v>
      </c>
    </row>
    <row r="276" spans="1:18">
      <c r="A276" t="s">
        <v>868</v>
      </c>
      <c r="B276" t="s">
        <v>869</v>
      </c>
      <c r="C276" t="s">
        <v>870</v>
      </c>
      <c r="D276" t="s">
        <v>49</v>
      </c>
      <c r="E276" t="s">
        <v>34</v>
      </c>
      <c r="F276" t="s">
        <v>58</v>
      </c>
      <c r="G276" s="13">
        <v>45799</v>
      </c>
      <c r="H276">
        <v>61</v>
      </c>
      <c r="I276">
        <v>23.71</v>
      </c>
      <c r="J276" t="s">
        <v>44</v>
      </c>
      <c r="K276" t="s">
        <v>25</v>
      </c>
      <c r="L276" t="s">
        <v>26</v>
      </c>
      <c r="M276">
        <v>37</v>
      </c>
      <c r="N276" t="s">
        <v>27</v>
      </c>
      <c r="O276" t="s">
        <v>754</v>
      </c>
      <c r="P276" t="s">
        <v>29</v>
      </c>
      <c r="Q276" t="s">
        <v>30</v>
      </c>
      <c r="R276">
        <v>0</v>
      </c>
    </row>
    <row r="277" spans="1:18">
      <c r="A277" t="s">
        <v>871</v>
      </c>
      <c r="B277" t="s">
        <v>872</v>
      </c>
      <c r="C277" t="s">
        <v>873</v>
      </c>
      <c r="D277" t="s">
        <v>62</v>
      </c>
      <c r="E277" t="s">
        <v>22</v>
      </c>
      <c r="F277" t="s">
        <v>58</v>
      </c>
      <c r="G277" s="13">
        <v>45803</v>
      </c>
      <c r="H277">
        <v>105</v>
      </c>
      <c r="I277">
        <v>0</v>
      </c>
      <c r="J277" t="s">
        <v>36</v>
      </c>
      <c r="K277" t="s">
        <v>25</v>
      </c>
      <c r="L277" t="s">
        <v>37</v>
      </c>
      <c r="M277">
        <v>24</v>
      </c>
      <c r="N277" t="s">
        <v>27</v>
      </c>
      <c r="O277" t="s">
        <v>754</v>
      </c>
      <c r="P277" t="s">
        <v>29</v>
      </c>
      <c r="Q277" t="s">
        <v>27</v>
      </c>
      <c r="R277">
        <v>0</v>
      </c>
    </row>
    <row r="278" spans="1:18">
      <c r="A278" t="s">
        <v>874</v>
      </c>
      <c r="B278" t="s">
        <v>875</v>
      </c>
      <c r="C278" t="s">
        <v>876</v>
      </c>
      <c r="D278" t="s">
        <v>57</v>
      </c>
      <c r="E278" t="s">
        <v>42</v>
      </c>
      <c r="F278" t="s">
        <v>73</v>
      </c>
      <c r="G278" s="13">
        <v>45797</v>
      </c>
      <c r="H278">
        <v>153</v>
      </c>
      <c r="I278">
        <v>0</v>
      </c>
      <c r="J278" t="s">
        <v>36</v>
      </c>
      <c r="K278" t="s">
        <v>25</v>
      </c>
      <c r="L278" t="s">
        <v>37</v>
      </c>
      <c r="M278">
        <v>1</v>
      </c>
      <c r="N278" t="s">
        <v>30</v>
      </c>
      <c r="O278" t="s">
        <v>754</v>
      </c>
      <c r="P278" t="s">
        <v>29</v>
      </c>
      <c r="Q278" t="s">
        <v>27</v>
      </c>
      <c r="R278">
        <v>1</v>
      </c>
    </row>
    <row r="279" spans="1:18">
      <c r="A279" t="s">
        <v>877</v>
      </c>
      <c r="B279" t="s">
        <v>878</v>
      </c>
      <c r="C279" t="s">
        <v>879</v>
      </c>
      <c r="D279" t="s">
        <v>57</v>
      </c>
      <c r="E279" t="s">
        <v>22</v>
      </c>
      <c r="F279" t="s">
        <v>58</v>
      </c>
      <c r="G279" s="13">
        <v>45784</v>
      </c>
      <c r="H279">
        <v>75</v>
      </c>
      <c r="I279">
        <v>0</v>
      </c>
      <c r="J279" t="s">
        <v>36</v>
      </c>
      <c r="K279" t="s">
        <v>25</v>
      </c>
      <c r="L279" t="s">
        <v>37</v>
      </c>
      <c r="M279">
        <v>13</v>
      </c>
      <c r="N279" t="s">
        <v>27</v>
      </c>
      <c r="O279" t="s">
        <v>754</v>
      </c>
      <c r="P279" t="s">
        <v>29</v>
      </c>
      <c r="Q279" t="s">
        <v>27</v>
      </c>
      <c r="R279">
        <v>0</v>
      </c>
    </row>
    <row r="280" spans="1:18">
      <c r="A280" t="s">
        <v>880</v>
      </c>
      <c r="B280" t="s">
        <v>881</v>
      </c>
      <c r="C280" t="s">
        <v>882</v>
      </c>
      <c r="D280" t="s">
        <v>21</v>
      </c>
      <c r="E280" t="s">
        <v>22</v>
      </c>
      <c r="F280" t="s">
        <v>58</v>
      </c>
      <c r="G280" s="13">
        <v>45788</v>
      </c>
      <c r="H280">
        <v>138</v>
      </c>
      <c r="I280">
        <v>0</v>
      </c>
      <c r="J280" t="s">
        <v>36</v>
      </c>
      <c r="K280" t="s">
        <v>25</v>
      </c>
      <c r="L280" t="s">
        <v>37</v>
      </c>
      <c r="M280">
        <v>47</v>
      </c>
      <c r="N280" t="s">
        <v>27</v>
      </c>
      <c r="O280" t="s">
        <v>754</v>
      </c>
      <c r="P280" t="s">
        <v>29</v>
      </c>
      <c r="Q280" t="s">
        <v>27</v>
      </c>
      <c r="R280">
        <v>0</v>
      </c>
    </row>
    <row r="281" spans="1:18">
      <c r="A281" t="s">
        <v>883</v>
      </c>
      <c r="B281" t="s">
        <v>884</v>
      </c>
      <c r="C281" t="s">
        <v>885</v>
      </c>
      <c r="D281" t="s">
        <v>21</v>
      </c>
      <c r="E281" t="s">
        <v>22</v>
      </c>
      <c r="F281" t="s">
        <v>23</v>
      </c>
      <c r="G281" s="13">
        <v>45808</v>
      </c>
      <c r="H281">
        <v>143</v>
      </c>
      <c r="I281">
        <v>0</v>
      </c>
      <c r="J281" t="s">
        <v>36</v>
      </c>
      <c r="K281" t="s">
        <v>53</v>
      </c>
      <c r="L281" t="s">
        <v>37</v>
      </c>
      <c r="M281">
        <v>17</v>
      </c>
      <c r="N281" t="s">
        <v>27</v>
      </c>
      <c r="O281" t="s">
        <v>754</v>
      </c>
      <c r="P281" t="s">
        <v>29</v>
      </c>
      <c r="Q281" t="s">
        <v>27</v>
      </c>
      <c r="R281">
        <v>0</v>
      </c>
    </row>
    <row r="282" spans="1:18">
      <c r="A282" t="s">
        <v>886</v>
      </c>
      <c r="B282" t="s">
        <v>887</v>
      </c>
      <c r="C282" t="s">
        <v>888</v>
      </c>
      <c r="D282" t="s">
        <v>62</v>
      </c>
      <c r="E282" t="s">
        <v>42</v>
      </c>
      <c r="F282" t="s">
        <v>73</v>
      </c>
      <c r="G282" s="13">
        <v>45808</v>
      </c>
      <c r="H282">
        <v>97</v>
      </c>
      <c r="I282">
        <v>0</v>
      </c>
      <c r="J282" t="s">
        <v>36</v>
      </c>
      <c r="K282" t="s">
        <v>25</v>
      </c>
      <c r="L282" t="s">
        <v>37</v>
      </c>
      <c r="M282">
        <v>5</v>
      </c>
      <c r="N282" t="s">
        <v>27</v>
      </c>
      <c r="O282" t="s">
        <v>754</v>
      </c>
      <c r="P282" t="s">
        <v>29</v>
      </c>
      <c r="Q282" t="s">
        <v>27</v>
      </c>
      <c r="R282">
        <v>0</v>
      </c>
    </row>
    <row r="283" spans="1:18">
      <c r="A283" t="s">
        <v>889</v>
      </c>
      <c r="B283" t="s">
        <v>890</v>
      </c>
      <c r="C283" t="s">
        <v>891</v>
      </c>
      <c r="D283" t="s">
        <v>21</v>
      </c>
      <c r="E283" t="s">
        <v>42</v>
      </c>
      <c r="F283" t="s">
        <v>73</v>
      </c>
      <c r="G283" s="13">
        <v>45783</v>
      </c>
      <c r="H283">
        <v>71</v>
      </c>
      <c r="I283">
        <v>0</v>
      </c>
      <c r="J283" t="s">
        <v>36</v>
      </c>
      <c r="K283" t="s">
        <v>25</v>
      </c>
      <c r="L283" t="s">
        <v>37</v>
      </c>
      <c r="M283">
        <v>46</v>
      </c>
      <c r="N283" t="s">
        <v>27</v>
      </c>
      <c r="O283" t="s">
        <v>754</v>
      </c>
      <c r="P283" t="s">
        <v>29</v>
      </c>
      <c r="Q283" t="s">
        <v>27</v>
      </c>
      <c r="R283">
        <v>0</v>
      </c>
    </row>
    <row r="284" spans="1:18">
      <c r="A284" t="s">
        <v>892</v>
      </c>
      <c r="B284" t="s">
        <v>893</v>
      </c>
      <c r="C284" t="s">
        <v>894</v>
      </c>
      <c r="D284" t="s">
        <v>49</v>
      </c>
      <c r="E284" t="s">
        <v>34</v>
      </c>
      <c r="F284" t="s">
        <v>43</v>
      </c>
      <c r="G284" s="13">
        <v>45803</v>
      </c>
      <c r="H284">
        <v>76</v>
      </c>
      <c r="I284">
        <v>37.020000000000003</v>
      </c>
      <c r="J284" t="s">
        <v>44</v>
      </c>
      <c r="K284" t="s">
        <v>25</v>
      </c>
      <c r="L284" t="s">
        <v>26</v>
      </c>
      <c r="M284">
        <v>4</v>
      </c>
      <c r="N284" t="s">
        <v>27</v>
      </c>
      <c r="O284" t="s">
        <v>754</v>
      </c>
      <c r="P284" t="s">
        <v>29</v>
      </c>
      <c r="Q284" t="s">
        <v>30</v>
      </c>
      <c r="R284">
        <v>0</v>
      </c>
    </row>
    <row r="285" spans="1:18">
      <c r="A285" t="s">
        <v>895</v>
      </c>
      <c r="B285" t="s">
        <v>896</v>
      </c>
      <c r="C285" t="s">
        <v>897</v>
      </c>
      <c r="D285" t="s">
        <v>49</v>
      </c>
      <c r="E285" t="s">
        <v>42</v>
      </c>
      <c r="F285" t="s">
        <v>23</v>
      </c>
      <c r="G285" s="13">
        <v>45802</v>
      </c>
      <c r="H285">
        <v>98</v>
      </c>
      <c r="I285">
        <v>0</v>
      </c>
      <c r="J285" t="s">
        <v>36</v>
      </c>
      <c r="K285" t="s">
        <v>25</v>
      </c>
      <c r="L285" t="s">
        <v>26</v>
      </c>
      <c r="M285">
        <v>30</v>
      </c>
      <c r="N285" t="s">
        <v>27</v>
      </c>
      <c r="O285" t="s">
        <v>754</v>
      </c>
      <c r="P285" t="s">
        <v>29</v>
      </c>
      <c r="Q285" t="s">
        <v>27</v>
      </c>
      <c r="R285">
        <v>0</v>
      </c>
    </row>
    <row r="286" spans="1:18">
      <c r="A286" t="s">
        <v>898</v>
      </c>
      <c r="B286" t="s">
        <v>899</v>
      </c>
      <c r="C286" t="s">
        <v>900</v>
      </c>
      <c r="D286" t="s">
        <v>49</v>
      </c>
      <c r="E286" t="s">
        <v>42</v>
      </c>
      <c r="F286" t="s">
        <v>73</v>
      </c>
      <c r="G286" s="13">
        <v>45791</v>
      </c>
      <c r="H286">
        <v>85</v>
      </c>
      <c r="I286">
        <v>0</v>
      </c>
      <c r="J286" t="s">
        <v>36</v>
      </c>
      <c r="K286" t="s">
        <v>25</v>
      </c>
      <c r="L286" t="s">
        <v>37</v>
      </c>
      <c r="M286">
        <v>4</v>
      </c>
      <c r="N286" t="s">
        <v>27</v>
      </c>
      <c r="O286" t="s">
        <v>754</v>
      </c>
      <c r="P286" t="s">
        <v>29</v>
      </c>
      <c r="Q286" t="s">
        <v>27</v>
      </c>
      <c r="R286">
        <v>0</v>
      </c>
    </row>
    <row r="287" spans="1:18">
      <c r="A287" t="s">
        <v>901</v>
      </c>
      <c r="B287" t="s">
        <v>902</v>
      </c>
      <c r="C287" t="s">
        <v>903</v>
      </c>
      <c r="D287" t="s">
        <v>49</v>
      </c>
      <c r="E287" t="s">
        <v>42</v>
      </c>
      <c r="F287" t="s">
        <v>58</v>
      </c>
      <c r="G287" s="13">
        <v>45790</v>
      </c>
      <c r="H287">
        <v>135</v>
      </c>
      <c r="I287">
        <v>0</v>
      </c>
      <c r="J287" t="s">
        <v>36</v>
      </c>
      <c r="K287" t="s">
        <v>25</v>
      </c>
      <c r="L287" t="s">
        <v>26</v>
      </c>
      <c r="M287">
        <v>42</v>
      </c>
      <c r="N287" t="s">
        <v>27</v>
      </c>
      <c r="O287" t="s">
        <v>754</v>
      </c>
      <c r="P287" t="s">
        <v>29</v>
      </c>
      <c r="Q287" t="s">
        <v>27</v>
      </c>
      <c r="R287">
        <v>0</v>
      </c>
    </row>
    <row r="288" spans="1:18">
      <c r="A288" t="s">
        <v>904</v>
      </c>
      <c r="B288" t="s">
        <v>905</v>
      </c>
      <c r="C288" t="s">
        <v>906</v>
      </c>
      <c r="D288" t="s">
        <v>57</v>
      </c>
      <c r="E288" t="s">
        <v>42</v>
      </c>
      <c r="F288" t="s">
        <v>80</v>
      </c>
      <c r="G288" s="13">
        <v>45788</v>
      </c>
      <c r="H288">
        <v>109</v>
      </c>
      <c r="I288">
        <v>39.869999999999997</v>
      </c>
      <c r="J288" t="s">
        <v>24</v>
      </c>
      <c r="K288" t="s">
        <v>25</v>
      </c>
      <c r="L288" t="s">
        <v>26</v>
      </c>
      <c r="M288">
        <v>13</v>
      </c>
      <c r="N288" t="s">
        <v>27</v>
      </c>
      <c r="O288" t="s">
        <v>754</v>
      </c>
      <c r="P288" t="s">
        <v>29</v>
      </c>
      <c r="Q288" t="s">
        <v>30</v>
      </c>
      <c r="R288">
        <v>0</v>
      </c>
    </row>
    <row r="289" spans="1:18">
      <c r="A289" t="s">
        <v>907</v>
      </c>
      <c r="B289" t="s">
        <v>908</v>
      </c>
      <c r="C289" t="s">
        <v>909</v>
      </c>
      <c r="D289" t="s">
        <v>21</v>
      </c>
      <c r="E289" t="s">
        <v>42</v>
      </c>
      <c r="F289" t="s">
        <v>35</v>
      </c>
      <c r="G289" s="13">
        <v>45786</v>
      </c>
      <c r="H289">
        <v>79</v>
      </c>
      <c r="I289">
        <v>20.5</v>
      </c>
      <c r="J289" t="s">
        <v>24</v>
      </c>
      <c r="K289" t="s">
        <v>25</v>
      </c>
      <c r="L289" t="s">
        <v>26</v>
      </c>
      <c r="M289">
        <v>5</v>
      </c>
      <c r="N289" t="s">
        <v>27</v>
      </c>
      <c r="O289" t="s">
        <v>754</v>
      </c>
      <c r="P289" t="s">
        <v>29</v>
      </c>
      <c r="Q289" t="s">
        <v>30</v>
      </c>
      <c r="R289">
        <v>0</v>
      </c>
    </row>
    <row r="290" spans="1:18">
      <c r="A290" t="s">
        <v>910</v>
      </c>
      <c r="B290" t="s">
        <v>911</v>
      </c>
      <c r="C290" t="s">
        <v>912</v>
      </c>
      <c r="D290" t="s">
        <v>62</v>
      </c>
      <c r="E290" t="s">
        <v>34</v>
      </c>
      <c r="F290" t="s">
        <v>23</v>
      </c>
      <c r="G290" s="13">
        <v>45795</v>
      </c>
      <c r="H290">
        <v>98</v>
      </c>
      <c r="I290">
        <v>27.66</v>
      </c>
      <c r="J290" t="s">
        <v>24</v>
      </c>
      <c r="K290" t="s">
        <v>25</v>
      </c>
      <c r="L290" t="s">
        <v>26</v>
      </c>
      <c r="M290">
        <v>27</v>
      </c>
      <c r="N290" t="s">
        <v>27</v>
      </c>
      <c r="O290" t="s">
        <v>754</v>
      </c>
      <c r="P290" t="s">
        <v>29</v>
      </c>
      <c r="Q290" t="s">
        <v>30</v>
      </c>
      <c r="R290">
        <v>0</v>
      </c>
    </row>
    <row r="291" spans="1:18">
      <c r="A291" t="s">
        <v>913</v>
      </c>
      <c r="B291" t="s">
        <v>914</v>
      </c>
      <c r="C291" t="s">
        <v>915</v>
      </c>
      <c r="D291" t="s">
        <v>21</v>
      </c>
      <c r="E291" t="s">
        <v>42</v>
      </c>
      <c r="F291" t="s">
        <v>73</v>
      </c>
      <c r="G291" s="13">
        <v>45786</v>
      </c>
      <c r="H291">
        <v>146</v>
      </c>
      <c r="I291">
        <v>43.02</v>
      </c>
      <c r="J291" t="s">
        <v>129</v>
      </c>
      <c r="K291" t="s">
        <v>25</v>
      </c>
      <c r="L291" t="s">
        <v>26</v>
      </c>
      <c r="M291">
        <v>24</v>
      </c>
      <c r="N291" t="s">
        <v>30</v>
      </c>
      <c r="O291" t="s">
        <v>754</v>
      </c>
      <c r="P291" t="s">
        <v>29</v>
      </c>
      <c r="Q291" t="s">
        <v>30</v>
      </c>
      <c r="R291">
        <v>1</v>
      </c>
    </row>
    <row r="292" spans="1:18">
      <c r="A292" t="s">
        <v>916</v>
      </c>
      <c r="B292" t="s">
        <v>917</v>
      </c>
      <c r="C292" t="s">
        <v>918</v>
      </c>
      <c r="D292" t="s">
        <v>57</v>
      </c>
      <c r="E292" t="s">
        <v>22</v>
      </c>
      <c r="F292" t="s">
        <v>58</v>
      </c>
      <c r="G292" s="13">
        <v>45803</v>
      </c>
      <c r="H292">
        <v>144</v>
      </c>
      <c r="I292">
        <v>0</v>
      </c>
      <c r="J292" t="s">
        <v>36</v>
      </c>
      <c r="K292" t="s">
        <v>66</v>
      </c>
      <c r="L292" t="s">
        <v>37</v>
      </c>
      <c r="M292">
        <v>18</v>
      </c>
      <c r="N292" t="s">
        <v>27</v>
      </c>
      <c r="O292" t="s">
        <v>754</v>
      </c>
      <c r="P292" t="s">
        <v>29</v>
      </c>
      <c r="Q292" t="s">
        <v>27</v>
      </c>
      <c r="R292">
        <v>0</v>
      </c>
    </row>
    <row r="293" spans="1:18">
      <c r="A293" t="s">
        <v>919</v>
      </c>
      <c r="B293" t="s">
        <v>920</v>
      </c>
      <c r="C293" t="s">
        <v>921</v>
      </c>
      <c r="D293" t="s">
        <v>62</v>
      </c>
      <c r="E293" t="s">
        <v>42</v>
      </c>
      <c r="F293" t="s">
        <v>80</v>
      </c>
      <c r="G293" s="13">
        <v>45783</v>
      </c>
      <c r="H293">
        <v>63</v>
      </c>
      <c r="I293">
        <v>0</v>
      </c>
      <c r="J293" t="s">
        <v>36</v>
      </c>
      <c r="K293" t="s">
        <v>25</v>
      </c>
      <c r="L293" t="s">
        <v>37</v>
      </c>
      <c r="M293">
        <v>15</v>
      </c>
      <c r="N293" t="s">
        <v>27</v>
      </c>
      <c r="O293" t="s">
        <v>754</v>
      </c>
      <c r="P293" t="s">
        <v>29</v>
      </c>
      <c r="Q293" t="s">
        <v>27</v>
      </c>
      <c r="R293">
        <v>0</v>
      </c>
    </row>
    <row r="294" spans="1:18">
      <c r="A294" t="s">
        <v>922</v>
      </c>
      <c r="B294" t="s">
        <v>923</v>
      </c>
      <c r="C294" t="s">
        <v>924</v>
      </c>
      <c r="D294" t="s">
        <v>49</v>
      </c>
      <c r="E294" t="s">
        <v>34</v>
      </c>
      <c r="F294" t="s">
        <v>80</v>
      </c>
      <c r="G294" s="13">
        <v>45801</v>
      </c>
      <c r="H294">
        <v>71</v>
      </c>
      <c r="I294">
        <v>0</v>
      </c>
      <c r="J294" t="s">
        <v>36</v>
      </c>
      <c r="K294" t="s">
        <v>25</v>
      </c>
      <c r="L294" t="s">
        <v>26</v>
      </c>
      <c r="M294">
        <v>5</v>
      </c>
      <c r="N294" t="s">
        <v>27</v>
      </c>
      <c r="O294" t="s">
        <v>754</v>
      </c>
      <c r="P294" t="s">
        <v>29</v>
      </c>
      <c r="Q294" t="s">
        <v>27</v>
      </c>
      <c r="R294">
        <v>0</v>
      </c>
    </row>
    <row r="295" spans="1:18">
      <c r="A295" t="s">
        <v>925</v>
      </c>
      <c r="B295" t="s">
        <v>926</v>
      </c>
      <c r="C295" t="s">
        <v>927</v>
      </c>
      <c r="D295" t="s">
        <v>21</v>
      </c>
      <c r="E295" t="s">
        <v>42</v>
      </c>
      <c r="F295" t="s">
        <v>58</v>
      </c>
      <c r="G295" s="13">
        <v>45804</v>
      </c>
      <c r="H295">
        <v>176</v>
      </c>
      <c r="I295">
        <v>44.39</v>
      </c>
      <c r="J295" t="s">
        <v>44</v>
      </c>
      <c r="K295" t="s">
        <v>25</v>
      </c>
      <c r="L295" t="s">
        <v>26</v>
      </c>
      <c r="M295">
        <v>18</v>
      </c>
      <c r="N295" t="s">
        <v>30</v>
      </c>
      <c r="O295" t="s">
        <v>754</v>
      </c>
      <c r="P295" t="s">
        <v>29</v>
      </c>
      <c r="Q295" t="s">
        <v>30</v>
      </c>
      <c r="R295">
        <v>1</v>
      </c>
    </row>
    <row r="296" spans="1:18">
      <c r="A296" t="s">
        <v>928</v>
      </c>
      <c r="B296" t="s">
        <v>929</v>
      </c>
      <c r="C296" t="s">
        <v>930</v>
      </c>
      <c r="D296" t="s">
        <v>57</v>
      </c>
      <c r="E296" t="s">
        <v>22</v>
      </c>
      <c r="F296" t="s">
        <v>23</v>
      </c>
      <c r="G296" s="13">
        <v>45798</v>
      </c>
      <c r="H296">
        <v>104</v>
      </c>
      <c r="I296">
        <v>0</v>
      </c>
      <c r="J296" t="s">
        <v>36</v>
      </c>
      <c r="K296" t="s">
        <v>25</v>
      </c>
      <c r="L296" t="s">
        <v>37</v>
      </c>
      <c r="M296">
        <v>14</v>
      </c>
      <c r="N296" t="s">
        <v>27</v>
      </c>
      <c r="O296" t="s">
        <v>754</v>
      </c>
      <c r="P296" t="s">
        <v>29</v>
      </c>
      <c r="Q296" t="s">
        <v>27</v>
      </c>
      <c r="R296">
        <v>0</v>
      </c>
    </row>
    <row r="297" spans="1:18">
      <c r="A297" t="s">
        <v>931</v>
      </c>
      <c r="B297" t="s">
        <v>932</v>
      </c>
      <c r="C297" t="s">
        <v>933</v>
      </c>
      <c r="D297" t="s">
        <v>21</v>
      </c>
      <c r="E297" t="s">
        <v>22</v>
      </c>
      <c r="F297" t="s">
        <v>35</v>
      </c>
      <c r="G297" s="13">
        <v>45794</v>
      </c>
      <c r="H297">
        <v>122</v>
      </c>
      <c r="I297">
        <v>0</v>
      </c>
      <c r="J297" t="s">
        <v>36</v>
      </c>
      <c r="K297" t="s">
        <v>25</v>
      </c>
      <c r="L297" t="s">
        <v>37</v>
      </c>
      <c r="M297">
        <v>28</v>
      </c>
      <c r="N297" t="s">
        <v>27</v>
      </c>
      <c r="O297" t="s">
        <v>754</v>
      </c>
      <c r="P297" t="s">
        <v>29</v>
      </c>
      <c r="Q297" t="s">
        <v>27</v>
      </c>
      <c r="R297">
        <v>0</v>
      </c>
    </row>
    <row r="298" spans="1:18">
      <c r="A298" t="s">
        <v>934</v>
      </c>
      <c r="B298" t="s">
        <v>935</v>
      </c>
      <c r="C298" t="s">
        <v>936</v>
      </c>
      <c r="D298" t="s">
        <v>57</v>
      </c>
      <c r="E298" t="s">
        <v>42</v>
      </c>
      <c r="F298" t="s">
        <v>80</v>
      </c>
      <c r="G298" s="13">
        <v>45807</v>
      </c>
      <c r="H298">
        <v>165</v>
      </c>
      <c r="I298">
        <v>0</v>
      </c>
      <c r="J298" t="s">
        <v>36</v>
      </c>
      <c r="K298" t="s">
        <v>25</v>
      </c>
      <c r="L298" t="s">
        <v>37</v>
      </c>
      <c r="M298">
        <v>15</v>
      </c>
      <c r="N298" t="s">
        <v>30</v>
      </c>
      <c r="O298" t="s">
        <v>754</v>
      </c>
      <c r="P298" t="s">
        <v>29</v>
      </c>
      <c r="Q298" t="s">
        <v>27</v>
      </c>
      <c r="R298">
        <v>1</v>
      </c>
    </row>
    <row r="299" spans="1:18">
      <c r="A299" t="s">
        <v>937</v>
      </c>
      <c r="B299" t="s">
        <v>938</v>
      </c>
      <c r="C299" t="s">
        <v>939</v>
      </c>
      <c r="D299" t="s">
        <v>21</v>
      </c>
      <c r="E299" t="s">
        <v>42</v>
      </c>
      <c r="F299" t="s">
        <v>58</v>
      </c>
      <c r="G299" s="13">
        <v>45797</v>
      </c>
      <c r="H299">
        <v>164</v>
      </c>
      <c r="I299">
        <v>14.33</v>
      </c>
      <c r="J299" t="s">
        <v>129</v>
      </c>
      <c r="K299" t="s">
        <v>25</v>
      </c>
      <c r="L299" t="s">
        <v>26</v>
      </c>
      <c r="M299">
        <v>4</v>
      </c>
      <c r="N299" t="s">
        <v>30</v>
      </c>
      <c r="O299" t="s">
        <v>754</v>
      </c>
      <c r="P299" t="s">
        <v>29</v>
      </c>
      <c r="Q299" t="s">
        <v>30</v>
      </c>
      <c r="R299">
        <v>1</v>
      </c>
    </row>
    <row r="300" spans="1:18">
      <c r="A300" t="s">
        <v>940</v>
      </c>
      <c r="B300" t="s">
        <v>941</v>
      </c>
      <c r="C300" t="s">
        <v>942</v>
      </c>
      <c r="D300" t="s">
        <v>21</v>
      </c>
      <c r="E300" t="s">
        <v>42</v>
      </c>
      <c r="F300" t="s">
        <v>80</v>
      </c>
      <c r="G300" s="13">
        <v>45789</v>
      </c>
      <c r="H300">
        <v>168</v>
      </c>
      <c r="I300">
        <v>33.729999999999997</v>
      </c>
      <c r="J300" t="s">
        <v>44</v>
      </c>
      <c r="K300" t="s">
        <v>25</v>
      </c>
      <c r="L300" t="s">
        <v>26</v>
      </c>
      <c r="M300">
        <v>48</v>
      </c>
      <c r="N300" t="s">
        <v>30</v>
      </c>
      <c r="O300" t="s">
        <v>754</v>
      </c>
      <c r="P300" t="s">
        <v>29</v>
      </c>
      <c r="Q300" t="s">
        <v>30</v>
      </c>
      <c r="R300">
        <v>1</v>
      </c>
    </row>
    <row r="301" spans="1:18">
      <c r="A301" t="s">
        <v>943</v>
      </c>
      <c r="B301" t="s">
        <v>944</v>
      </c>
      <c r="C301" t="s">
        <v>945</v>
      </c>
      <c r="D301" t="s">
        <v>57</v>
      </c>
      <c r="E301" t="s">
        <v>34</v>
      </c>
      <c r="F301" t="s">
        <v>35</v>
      </c>
      <c r="G301" s="13">
        <v>45782</v>
      </c>
      <c r="H301">
        <v>68</v>
      </c>
      <c r="I301">
        <v>0</v>
      </c>
      <c r="J301" t="s">
        <v>36</v>
      </c>
      <c r="K301" t="s">
        <v>25</v>
      </c>
      <c r="L301" t="s">
        <v>37</v>
      </c>
      <c r="M301">
        <v>21</v>
      </c>
      <c r="N301" t="s">
        <v>27</v>
      </c>
      <c r="O301" t="s">
        <v>754</v>
      </c>
      <c r="P301" t="s">
        <v>29</v>
      </c>
      <c r="Q301" t="s">
        <v>27</v>
      </c>
      <c r="R301">
        <v>0</v>
      </c>
    </row>
    <row r="302" spans="1:18">
      <c r="A302" t="s">
        <v>946</v>
      </c>
      <c r="B302" t="s">
        <v>947</v>
      </c>
      <c r="C302" t="s">
        <v>948</v>
      </c>
      <c r="D302" t="s">
        <v>57</v>
      </c>
      <c r="E302" t="s">
        <v>34</v>
      </c>
      <c r="F302" t="s">
        <v>35</v>
      </c>
      <c r="G302" s="13">
        <v>45801</v>
      </c>
      <c r="H302">
        <v>155</v>
      </c>
      <c r="I302">
        <v>31.24</v>
      </c>
      <c r="J302" t="s">
        <v>44</v>
      </c>
      <c r="K302" t="s">
        <v>25</v>
      </c>
      <c r="L302" t="s">
        <v>26</v>
      </c>
      <c r="M302">
        <v>33</v>
      </c>
      <c r="N302" t="s">
        <v>30</v>
      </c>
      <c r="O302" t="s">
        <v>754</v>
      </c>
      <c r="P302" t="s">
        <v>29</v>
      </c>
      <c r="Q302" t="s">
        <v>30</v>
      </c>
      <c r="R302">
        <v>1</v>
      </c>
    </row>
    <row r="303" spans="1:18">
      <c r="A303" t="s">
        <v>949</v>
      </c>
      <c r="B303" t="s">
        <v>950</v>
      </c>
      <c r="C303" t="s">
        <v>951</v>
      </c>
      <c r="D303" t="s">
        <v>41</v>
      </c>
      <c r="E303" t="s">
        <v>22</v>
      </c>
      <c r="F303" t="s">
        <v>58</v>
      </c>
      <c r="G303" s="13">
        <v>45785</v>
      </c>
      <c r="H303">
        <v>122</v>
      </c>
      <c r="I303">
        <v>40.31</v>
      </c>
      <c r="J303" t="s">
        <v>44</v>
      </c>
      <c r="K303" t="s">
        <v>25</v>
      </c>
      <c r="L303" t="s">
        <v>26</v>
      </c>
      <c r="M303">
        <v>33</v>
      </c>
      <c r="N303" t="s">
        <v>30</v>
      </c>
      <c r="O303" t="s">
        <v>754</v>
      </c>
      <c r="P303" t="s">
        <v>29</v>
      </c>
      <c r="Q303" t="s">
        <v>30</v>
      </c>
      <c r="R303">
        <v>1</v>
      </c>
    </row>
    <row r="304" spans="1:18">
      <c r="A304" t="s">
        <v>952</v>
      </c>
      <c r="B304" t="s">
        <v>953</v>
      </c>
      <c r="C304" t="s">
        <v>954</v>
      </c>
      <c r="D304" t="s">
        <v>57</v>
      </c>
      <c r="E304" t="s">
        <v>42</v>
      </c>
      <c r="F304" t="s">
        <v>23</v>
      </c>
      <c r="G304" s="13">
        <v>45799</v>
      </c>
      <c r="H304">
        <v>100</v>
      </c>
      <c r="I304">
        <v>0</v>
      </c>
      <c r="J304" t="s">
        <v>36</v>
      </c>
      <c r="K304" t="s">
        <v>25</v>
      </c>
      <c r="L304" t="s">
        <v>37</v>
      </c>
      <c r="M304">
        <v>25</v>
      </c>
      <c r="N304" t="s">
        <v>27</v>
      </c>
      <c r="O304" t="s">
        <v>754</v>
      </c>
      <c r="P304" t="s">
        <v>29</v>
      </c>
      <c r="Q304" t="s">
        <v>27</v>
      </c>
      <c r="R304">
        <v>0</v>
      </c>
    </row>
    <row r="305" spans="1:18">
      <c r="A305" t="s">
        <v>955</v>
      </c>
      <c r="B305" t="s">
        <v>956</v>
      </c>
      <c r="C305" t="s">
        <v>957</v>
      </c>
      <c r="D305" t="s">
        <v>21</v>
      </c>
      <c r="E305" t="s">
        <v>34</v>
      </c>
      <c r="F305" t="s">
        <v>73</v>
      </c>
      <c r="G305" s="13">
        <v>45801</v>
      </c>
      <c r="H305">
        <v>102</v>
      </c>
      <c r="I305">
        <v>0</v>
      </c>
      <c r="J305" t="s">
        <v>36</v>
      </c>
      <c r="K305" t="s">
        <v>25</v>
      </c>
      <c r="L305" t="s">
        <v>26</v>
      </c>
      <c r="M305">
        <v>44</v>
      </c>
      <c r="N305" t="s">
        <v>27</v>
      </c>
      <c r="O305" t="s">
        <v>754</v>
      </c>
      <c r="P305" t="s">
        <v>29</v>
      </c>
      <c r="Q305" t="s">
        <v>27</v>
      </c>
      <c r="R305">
        <v>0</v>
      </c>
    </row>
    <row r="306" spans="1:18">
      <c r="A306" t="s">
        <v>958</v>
      </c>
      <c r="B306" t="s">
        <v>959</v>
      </c>
      <c r="C306" t="s">
        <v>960</v>
      </c>
      <c r="D306" t="s">
        <v>49</v>
      </c>
      <c r="E306" t="s">
        <v>22</v>
      </c>
      <c r="F306" t="s">
        <v>23</v>
      </c>
      <c r="G306" s="13">
        <v>45793</v>
      </c>
      <c r="H306">
        <v>142</v>
      </c>
      <c r="I306">
        <v>0</v>
      </c>
      <c r="J306" t="s">
        <v>36</v>
      </c>
      <c r="K306" t="s">
        <v>53</v>
      </c>
      <c r="L306" t="s">
        <v>37</v>
      </c>
      <c r="M306">
        <v>49</v>
      </c>
      <c r="N306" t="s">
        <v>27</v>
      </c>
      <c r="O306" t="s">
        <v>754</v>
      </c>
      <c r="P306" t="s">
        <v>29</v>
      </c>
      <c r="Q306" t="s">
        <v>27</v>
      </c>
      <c r="R306">
        <v>0</v>
      </c>
    </row>
    <row r="307" spans="1:18">
      <c r="A307" t="s">
        <v>961</v>
      </c>
      <c r="B307" t="s">
        <v>962</v>
      </c>
      <c r="C307" t="s">
        <v>963</v>
      </c>
      <c r="D307" t="s">
        <v>41</v>
      </c>
      <c r="E307" t="s">
        <v>22</v>
      </c>
      <c r="F307" t="s">
        <v>23</v>
      </c>
      <c r="G307" s="13">
        <v>45820</v>
      </c>
      <c r="H307">
        <v>153</v>
      </c>
      <c r="I307">
        <v>0</v>
      </c>
      <c r="J307" t="s">
        <v>36</v>
      </c>
      <c r="K307" t="s">
        <v>25</v>
      </c>
      <c r="L307" t="s">
        <v>37</v>
      </c>
      <c r="M307">
        <v>18</v>
      </c>
      <c r="N307" t="s">
        <v>30</v>
      </c>
      <c r="O307" t="s">
        <v>964</v>
      </c>
      <c r="P307" t="s">
        <v>29</v>
      </c>
      <c r="Q307" t="s">
        <v>27</v>
      </c>
      <c r="R307">
        <v>1</v>
      </c>
    </row>
    <row r="308" spans="1:18">
      <c r="A308" t="s">
        <v>965</v>
      </c>
      <c r="B308" t="s">
        <v>966</v>
      </c>
      <c r="C308" t="s">
        <v>967</v>
      </c>
      <c r="D308" t="s">
        <v>62</v>
      </c>
      <c r="E308" t="s">
        <v>22</v>
      </c>
      <c r="F308" t="s">
        <v>80</v>
      </c>
      <c r="G308" s="13">
        <v>45818</v>
      </c>
      <c r="H308">
        <v>135</v>
      </c>
      <c r="I308">
        <v>0</v>
      </c>
      <c r="J308" t="s">
        <v>36</v>
      </c>
      <c r="K308" t="s">
        <v>25</v>
      </c>
      <c r="L308" t="s">
        <v>37</v>
      </c>
      <c r="M308">
        <v>12</v>
      </c>
      <c r="N308" t="s">
        <v>27</v>
      </c>
      <c r="O308" t="s">
        <v>964</v>
      </c>
      <c r="P308" t="s">
        <v>29</v>
      </c>
      <c r="Q308" t="s">
        <v>27</v>
      </c>
      <c r="R308">
        <v>0</v>
      </c>
    </row>
    <row r="309" spans="1:18">
      <c r="A309" t="s">
        <v>968</v>
      </c>
      <c r="B309" t="s">
        <v>969</v>
      </c>
      <c r="C309" t="s">
        <v>970</v>
      </c>
      <c r="D309" t="s">
        <v>21</v>
      </c>
      <c r="E309" t="s">
        <v>34</v>
      </c>
      <c r="F309" t="s">
        <v>80</v>
      </c>
      <c r="G309" s="13">
        <v>45818</v>
      </c>
      <c r="H309">
        <v>81</v>
      </c>
      <c r="I309">
        <v>10.1</v>
      </c>
      <c r="J309" t="s">
        <v>173</v>
      </c>
      <c r="K309" t="s">
        <v>45</v>
      </c>
      <c r="L309" t="s">
        <v>26</v>
      </c>
      <c r="M309">
        <v>24</v>
      </c>
      <c r="N309" t="s">
        <v>27</v>
      </c>
      <c r="O309" t="s">
        <v>964</v>
      </c>
      <c r="P309" t="s">
        <v>29</v>
      </c>
      <c r="Q309" t="s">
        <v>30</v>
      </c>
      <c r="R309">
        <v>0</v>
      </c>
    </row>
    <row r="310" spans="1:18">
      <c r="A310" t="s">
        <v>971</v>
      </c>
      <c r="B310" t="s">
        <v>972</v>
      </c>
      <c r="C310" t="s">
        <v>973</v>
      </c>
      <c r="D310" t="s">
        <v>49</v>
      </c>
      <c r="E310" t="s">
        <v>34</v>
      </c>
      <c r="F310" t="s">
        <v>23</v>
      </c>
      <c r="G310" s="13">
        <v>45814</v>
      </c>
      <c r="H310">
        <v>152</v>
      </c>
      <c r="I310">
        <v>0</v>
      </c>
      <c r="J310" t="s">
        <v>36</v>
      </c>
      <c r="K310" t="s">
        <v>25</v>
      </c>
      <c r="L310" t="s">
        <v>37</v>
      </c>
      <c r="M310">
        <v>21</v>
      </c>
      <c r="N310" t="s">
        <v>30</v>
      </c>
      <c r="O310" t="s">
        <v>964</v>
      </c>
      <c r="P310" t="s">
        <v>29</v>
      </c>
      <c r="Q310" t="s">
        <v>27</v>
      </c>
      <c r="R310">
        <v>1</v>
      </c>
    </row>
    <row r="311" spans="1:18">
      <c r="A311" t="s">
        <v>974</v>
      </c>
      <c r="B311" t="s">
        <v>975</v>
      </c>
      <c r="C311" t="s">
        <v>976</v>
      </c>
      <c r="D311" t="s">
        <v>57</v>
      </c>
      <c r="E311" t="s">
        <v>42</v>
      </c>
      <c r="F311" t="s">
        <v>58</v>
      </c>
      <c r="G311" s="13">
        <v>45811</v>
      </c>
      <c r="H311">
        <v>165</v>
      </c>
      <c r="I311">
        <v>0</v>
      </c>
      <c r="J311" t="s">
        <v>36</v>
      </c>
      <c r="K311" t="s">
        <v>25</v>
      </c>
      <c r="L311" t="s">
        <v>37</v>
      </c>
      <c r="M311">
        <v>41</v>
      </c>
      <c r="N311" t="s">
        <v>30</v>
      </c>
      <c r="O311" t="s">
        <v>964</v>
      </c>
      <c r="P311" t="s">
        <v>29</v>
      </c>
      <c r="Q311" t="s">
        <v>27</v>
      </c>
      <c r="R311">
        <v>1</v>
      </c>
    </row>
    <row r="312" spans="1:18">
      <c r="A312" t="s">
        <v>977</v>
      </c>
      <c r="B312" t="s">
        <v>978</v>
      </c>
      <c r="C312" t="s">
        <v>979</v>
      </c>
      <c r="D312" t="s">
        <v>49</v>
      </c>
      <c r="E312" t="s">
        <v>34</v>
      </c>
      <c r="F312" t="s">
        <v>23</v>
      </c>
      <c r="G312" s="13">
        <v>45820</v>
      </c>
      <c r="H312">
        <v>81</v>
      </c>
      <c r="I312">
        <v>0</v>
      </c>
      <c r="J312" t="s">
        <v>36</v>
      </c>
      <c r="K312" t="s">
        <v>66</v>
      </c>
      <c r="L312" t="s">
        <v>37</v>
      </c>
      <c r="M312">
        <v>37</v>
      </c>
      <c r="N312" t="s">
        <v>27</v>
      </c>
      <c r="O312" t="s">
        <v>964</v>
      </c>
      <c r="P312" t="s">
        <v>29</v>
      </c>
      <c r="Q312" t="s">
        <v>27</v>
      </c>
      <c r="R312">
        <v>0</v>
      </c>
    </row>
    <row r="313" spans="1:18">
      <c r="A313" t="s">
        <v>980</v>
      </c>
      <c r="B313" t="s">
        <v>981</v>
      </c>
      <c r="C313" t="s">
        <v>982</v>
      </c>
      <c r="D313" t="s">
        <v>41</v>
      </c>
      <c r="E313" t="s">
        <v>42</v>
      </c>
      <c r="F313" t="s">
        <v>73</v>
      </c>
      <c r="G313" s="13">
        <v>45809</v>
      </c>
      <c r="H313">
        <v>76</v>
      </c>
      <c r="I313">
        <v>0</v>
      </c>
      <c r="J313" t="s">
        <v>36</v>
      </c>
      <c r="K313" t="s">
        <v>25</v>
      </c>
      <c r="L313" t="s">
        <v>37</v>
      </c>
      <c r="M313">
        <v>44</v>
      </c>
      <c r="N313" t="s">
        <v>27</v>
      </c>
      <c r="O313" t="s">
        <v>964</v>
      </c>
      <c r="P313" t="s">
        <v>29</v>
      </c>
      <c r="Q313" t="s">
        <v>27</v>
      </c>
      <c r="R313">
        <v>0</v>
      </c>
    </row>
    <row r="314" spans="1:18">
      <c r="A314" t="s">
        <v>983</v>
      </c>
      <c r="B314" t="s">
        <v>926</v>
      </c>
      <c r="C314" t="s">
        <v>984</v>
      </c>
      <c r="D314" t="s">
        <v>49</v>
      </c>
      <c r="E314" t="s">
        <v>34</v>
      </c>
      <c r="F314" t="s">
        <v>43</v>
      </c>
      <c r="G314" s="13">
        <v>45819</v>
      </c>
      <c r="H314">
        <v>153</v>
      </c>
      <c r="I314">
        <v>0</v>
      </c>
      <c r="J314" t="s">
        <v>36</v>
      </c>
      <c r="K314" t="s">
        <v>25</v>
      </c>
      <c r="L314" t="s">
        <v>37</v>
      </c>
      <c r="M314">
        <v>48</v>
      </c>
      <c r="N314" t="s">
        <v>30</v>
      </c>
      <c r="O314" t="s">
        <v>964</v>
      </c>
      <c r="P314" t="s">
        <v>29</v>
      </c>
      <c r="Q314" t="s">
        <v>27</v>
      </c>
      <c r="R314">
        <v>1</v>
      </c>
    </row>
    <row r="315" spans="1:18">
      <c r="A315" t="s">
        <v>985</v>
      </c>
      <c r="B315" t="s">
        <v>986</v>
      </c>
      <c r="C315" t="s">
        <v>987</v>
      </c>
      <c r="D315" t="s">
        <v>21</v>
      </c>
      <c r="E315" t="s">
        <v>34</v>
      </c>
      <c r="F315" t="s">
        <v>80</v>
      </c>
      <c r="G315" s="13">
        <v>45819</v>
      </c>
      <c r="H315">
        <v>172</v>
      </c>
      <c r="I315">
        <v>0</v>
      </c>
      <c r="J315" t="s">
        <v>36</v>
      </c>
      <c r="K315" t="s">
        <v>66</v>
      </c>
      <c r="L315" t="s">
        <v>37</v>
      </c>
      <c r="M315">
        <v>21</v>
      </c>
      <c r="N315" t="s">
        <v>30</v>
      </c>
      <c r="O315" t="s">
        <v>964</v>
      </c>
      <c r="P315" t="s">
        <v>29</v>
      </c>
      <c r="Q315" t="s">
        <v>27</v>
      </c>
      <c r="R315">
        <v>1</v>
      </c>
    </row>
    <row r="316" spans="1:18">
      <c r="A316" t="s">
        <v>988</v>
      </c>
      <c r="B316" t="s">
        <v>989</v>
      </c>
      <c r="C316" t="s">
        <v>990</v>
      </c>
      <c r="D316" t="s">
        <v>57</v>
      </c>
      <c r="E316" t="s">
        <v>22</v>
      </c>
      <c r="F316" t="s">
        <v>43</v>
      </c>
      <c r="G316" s="13">
        <v>45815</v>
      </c>
      <c r="H316">
        <v>128</v>
      </c>
      <c r="I316">
        <v>0</v>
      </c>
      <c r="J316" t="s">
        <v>36</v>
      </c>
      <c r="K316" t="s">
        <v>45</v>
      </c>
      <c r="L316" t="s">
        <v>37</v>
      </c>
      <c r="M316">
        <v>32</v>
      </c>
      <c r="N316" t="s">
        <v>27</v>
      </c>
      <c r="O316" t="s">
        <v>964</v>
      </c>
      <c r="P316" t="s">
        <v>29</v>
      </c>
      <c r="Q316" t="s">
        <v>27</v>
      </c>
      <c r="R316">
        <v>0</v>
      </c>
    </row>
    <row r="317" spans="1:18">
      <c r="A317" t="s">
        <v>991</v>
      </c>
      <c r="B317" t="s">
        <v>992</v>
      </c>
      <c r="C317" t="s">
        <v>993</v>
      </c>
      <c r="D317" t="s">
        <v>41</v>
      </c>
      <c r="E317" t="s">
        <v>42</v>
      </c>
      <c r="F317" t="s">
        <v>73</v>
      </c>
      <c r="G317" s="13">
        <v>45814</v>
      </c>
      <c r="H317">
        <v>137</v>
      </c>
      <c r="I317">
        <v>0</v>
      </c>
      <c r="J317" t="s">
        <v>36</v>
      </c>
      <c r="K317" t="s">
        <v>53</v>
      </c>
      <c r="L317" t="s">
        <v>37</v>
      </c>
      <c r="M317">
        <v>28</v>
      </c>
      <c r="N317" t="s">
        <v>27</v>
      </c>
      <c r="O317" t="s">
        <v>964</v>
      </c>
      <c r="P317" t="s">
        <v>29</v>
      </c>
      <c r="Q317" t="s">
        <v>27</v>
      </c>
      <c r="R317">
        <v>0</v>
      </c>
    </row>
    <row r="318" spans="1:18">
      <c r="A318" t="s">
        <v>994</v>
      </c>
      <c r="B318" t="s">
        <v>995</v>
      </c>
      <c r="C318" t="s">
        <v>996</v>
      </c>
      <c r="D318" t="s">
        <v>49</v>
      </c>
      <c r="E318" t="s">
        <v>34</v>
      </c>
      <c r="F318" t="s">
        <v>35</v>
      </c>
      <c r="G318" s="13">
        <v>45821</v>
      </c>
      <c r="H318">
        <v>70</v>
      </c>
      <c r="I318">
        <v>11.82</v>
      </c>
      <c r="J318" t="s">
        <v>44</v>
      </c>
      <c r="K318" t="s">
        <v>25</v>
      </c>
      <c r="L318" t="s">
        <v>26</v>
      </c>
      <c r="M318">
        <v>5</v>
      </c>
      <c r="N318" t="s">
        <v>27</v>
      </c>
      <c r="O318" t="s">
        <v>964</v>
      </c>
      <c r="P318" t="s">
        <v>29</v>
      </c>
      <c r="Q318" t="s">
        <v>30</v>
      </c>
      <c r="R318">
        <v>0</v>
      </c>
    </row>
    <row r="319" spans="1:18">
      <c r="A319" t="s">
        <v>997</v>
      </c>
      <c r="B319" t="s">
        <v>998</v>
      </c>
      <c r="C319" t="s">
        <v>999</v>
      </c>
      <c r="D319" t="s">
        <v>21</v>
      </c>
      <c r="E319" t="s">
        <v>34</v>
      </c>
      <c r="F319" t="s">
        <v>73</v>
      </c>
      <c r="G319" s="13">
        <v>45816</v>
      </c>
      <c r="H319">
        <v>168</v>
      </c>
      <c r="I319">
        <v>0</v>
      </c>
      <c r="J319" t="s">
        <v>36</v>
      </c>
      <c r="K319" t="s">
        <v>25</v>
      </c>
      <c r="L319" t="s">
        <v>37</v>
      </c>
      <c r="M319">
        <v>18</v>
      </c>
      <c r="N319" t="s">
        <v>30</v>
      </c>
      <c r="O319" t="s">
        <v>964</v>
      </c>
      <c r="P319" t="s">
        <v>29</v>
      </c>
      <c r="Q319" t="s">
        <v>27</v>
      </c>
      <c r="R319">
        <v>1</v>
      </c>
    </row>
    <row r="320" spans="1:18">
      <c r="A320" t="s">
        <v>1000</v>
      </c>
      <c r="B320" t="s">
        <v>1001</v>
      </c>
      <c r="C320" t="s">
        <v>1002</v>
      </c>
      <c r="D320" t="s">
        <v>41</v>
      </c>
      <c r="E320" t="s">
        <v>42</v>
      </c>
      <c r="F320" t="s">
        <v>58</v>
      </c>
      <c r="G320" s="13">
        <v>45809</v>
      </c>
      <c r="H320">
        <v>134</v>
      </c>
      <c r="I320">
        <v>0</v>
      </c>
      <c r="J320" t="s">
        <v>36</v>
      </c>
      <c r="K320" t="s">
        <v>25</v>
      </c>
      <c r="L320" t="s">
        <v>37</v>
      </c>
      <c r="M320">
        <v>28</v>
      </c>
      <c r="N320" t="s">
        <v>27</v>
      </c>
      <c r="O320" t="s">
        <v>964</v>
      </c>
      <c r="P320" t="s">
        <v>29</v>
      </c>
      <c r="Q320" t="s">
        <v>27</v>
      </c>
      <c r="R320">
        <v>0</v>
      </c>
    </row>
    <row r="321" spans="1:18">
      <c r="A321" t="s">
        <v>1003</v>
      </c>
      <c r="B321" t="s">
        <v>1004</v>
      </c>
      <c r="C321" t="s">
        <v>1005</v>
      </c>
      <c r="D321" t="s">
        <v>62</v>
      </c>
      <c r="E321" t="s">
        <v>22</v>
      </c>
      <c r="F321" t="s">
        <v>73</v>
      </c>
      <c r="G321" s="13">
        <v>45817</v>
      </c>
      <c r="H321">
        <v>93</v>
      </c>
      <c r="I321">
        <v>0</v>
      </c>
      <c r="J321" t="s">
        <v>36</v>
      </c>
      <c r="K321" t="s">
        <v>25</v>
      </c>
      <c r="L321" t="s">
        <v>37</v>
      </c>
      <c r="M321">
        <v>21</v>
      </c>
      <c r="N321" t="s">
        <v>27</v>
      </c>
      <c r="O321" t="s">
        <v>964</v>
      </c>
      <c r="P321" t="s">
        <v>29</v>
      </c>
      <c r="Q321" t="s">
        <v>27</v>
      </c>
      <c r="R321">
        <v>0</v>
      </c>
    </row>
    <row r="322" spans="1:18">
      <c r="A322" t="s">
        <v>1006</v>
      </c>
      <c r="B322" t="s">
        <v>1007</v>
      </c>
      <c r="C322" t="s">
        <v>1008</v>
      </c>
      <c r="D322" t="s">
        <v>62</v>
      </c>
      <c r="E322" t="s">
        <v>34</v>
      </c>
      <c r="F322" t="s">
        <v>35</v>
      </c>
      <c r="G322" s="13">
        <v>45811</v>
      </c>
      <c r="H322">
        <v>128</v>
      </c>
      <c r="I322">
        <v>0</v>
      </c>
      <c r="J322" t="s">
        <v>36</v>
      </c>
      <c r="K322" t="s">
        <v>25</v>
      </c>
      <c r="L322" t="s">
        <v>26</v>
      </c>
      <c r="M322">
        <v>29</v>
      </c>
      <c r="N322" t="s">
        <v>27</v>
      </c>
      <c r="O322" t="s">
        <v>964</v>
      </c>
      <c r="P322" t="s">
        <v>29</v>
      </c>
      <c r="Q322" t="s">
        <v>27</v>
      </c>
      <c r="R322">
        <v>0</v>
      </c>
    </row>
    <row r="323" spans="1:18">
      <c r="A323" t="s">
        <v>1009</v>
      </c>
      <c r="B323" t="s">
        <v>1010</v>
      </c>
      <c r="C323" t="s">
        <v>1011</v>
      </c>
      <c r="D323" t="s">
        <v>62</v>
      </c>
      <c r="E323" t="s">
        <v>22</v>
      </c>
      <c r="F323" t="s">
        <v>23</v>
      </c>
      <c r="G323" s="13">
        <v>45819</v>
      </c>
      <c r="H323">
        <v>73</v>
      </c>
      <c r="I323">
        <v>0</v>
      </c>
      <c r="J323" t="s">
        <v>36</v>
      </c>
      <c r="K323" t="s">
        <v>25</v>
      </c>
      <c r="L323" t="s">
        <v>37</v>
      </c>
      <c r="M323">
        <v>11</v>
      </c>
      <c r="N323" t="s">
        <v>27</v>
      </c>
      <c r="O323" t="s">
        <v>964</v>
      </c>
      <c r="P323" t="s">
        <v>29</v>
      </c>
      <c r="Q323" t="s">
        <v>27</v>
      </c>
      <c r="R323">
        <v>0</v>
      </c>
    </row>
    <row r="324" spans="1:18">
      <c r="A324" t="s">
        <v>1012</v>
      </c>
      <c r="B324" t="s">
        <v>1013</v>
      </c>
      <c r="C324" t="s">
        <v>1014</v>
      </c>
      <c r="D324" t="s">
        <v>21</v>
      </c>
      <c r="E324" t="s">
        <v>42</v>
      </c>
      <c r="F324" t="s">
        <v>35</v>
      </c>
      <c r="G324" s="13">
        <v>45815</v>
      </c>
      <c r="H324">
        <v>144</v>
      </c>
      <c r="I324">
        <v>40.29</v>
      </c>
      <c r="J324" t="s">
        <v>173</v>
      </c>
      <c r="K324" t="s">
        <v>66</v>
      </c>
      <c r="L324" t="s">
        <v>26</v>
      </c>
      <c r="M324">
        <v>1</v>
      </c>
      <c r="N324" t="s">
        <v>30</v>
      </c>
      <c r="O324" t="s">
        <v>964</v>
      </c>
      <c r="P324" t="s">
        <v>29</v>
      </c>
      <c r="Q324" t="s">
        <v>30</v>
      </c>
      <c r="R324">
        <v>1</v>
      </c>
    </row>
    <row r="325" spans="1:18">
      <c r="A325" t="s">
        <v>1015</v>
      </c>
      <c r="B325" t="s">
        <v>1016</v>
      </c>
      <c r="C325" t="s">
        <v>1017</v>
      </c>
      <c r="D325" t="s">
        <v>49</v>
      </c>
      <c r="E325" t="s">
        <v>22</v>
      </c>
      <c r="F325" t="s">
        <v>35</v>
      </c>
      <c r="G325" s="13">
        <v>45810</v>
      </c>
      <c r="H325">
        <v>128</v>
      </c>
      <c r="I325">
        <v>0</v>
      </c>
      <c r="J325" t="s">
        <v>36</v>
      </c>
      <c r="K325" t="s">
        <v>25</v>
      </c>
      <c r="L325" t="s">
        <v>37</v>
      </c>
      <c r="M325">
        <v>15</v>
      </c>
      <c r="N325" t="s">
        <v>27</v>
      </c>
      <c r="O325" t="s">
        <v>964</v>
      </c>
      <c r="P325" t="s">
        <v>29</v>
      </c>
      <c r="Q325" t="s">
        <v>27</v>
      </c>
      <c r="R325">
        <v>0</v>
      </c>
    </row>
    <row r="326" spans="1:18">
      <c r="A326" t="s">
        <v>1018</v>
      </c>
      <c r="B326" t="s">
        <v>1019</v>
      </c>
      <c r="C326" t="s">
        <v>1020</v>
      </c>
      <c r="D326" t="s">
        <v>57</v>
      </c>
      <c r="E326" t="s">
        <v>42</v>
      </c>
      <c r="F326" t="s">
        <v>43</v>
      </c>
      <c r="G326" s="13">
        <v>45811</v>
      </c>
      <c r="H326">
        <v>85</v>
      </c>
      <c r="I326">
        <v>0</v>
      </c>
      <c r="J326" t="s">
        <v>36</v>
      </c>
      <c r="K326" t="s">
        <v>66</v>
      </c>
      <c r="L326" t="s">
        <v>37</v>
      </c>
      <c r="M326">
        <v>24</v>
      </c>
      <c r="N326" t="s">
        <v>27</v>
      </c>
      <c r="O326" t="s">
        <v>964</v>
      </c>
      <c r="P326" t="s">
        <v>29</v>
      </c>
      <c r="Q326" t="s">
        <v>27</v>
      </c>
      <c r="R326">
        <v>0</v>
      </c>
    </row>
    <row r="327" spans="1:18">
      <c r="A327" t="s">
        <v>1021</v>
      </c>
      <c r="B327" t="s">
        <v>1022</v>
      </c>
      <c r="C327" t="s">
        <v>1023</v>
      </c>
      <c r="D327" t="s">
        <v>41</v>
      </c>
      <c r="E327" t="s">
        <v>42</v>
      </c>
      <c r="F327" t="s">
        <v>35</v>
      </c>
      <c r="G327" s="13">
        <v>45812</v>
      </c>
      <c r="H327">
        <v>139</v>
      </c>
      <c r="I327">
        <v>0</v>
      </c>
      <c r="J327" t="s">
        <v>36</v>
      </c>
      <c r="K327" t="s">
        <v>25</v>
      </c>
      <c r="L327" t="s">
        <v>37</v>
      </c>
      <c r="M327">
        <v>1</v>
      </c>
      <c r="N327" t="s">
        <v>27</v>
      </c>
      <c r="O327" t="s">
        <v>964</v>
      </c>
      <c r="P327" t="s">
        <v>29</v>
      </c>
      <c r="Q327" t="s">
        <v>27</v>
      </c>
      <c r="R32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"/>
  <sheetViews>
    <sheetView workbookViewId="0">
      <selection sqref="A1:R99"/>
    </sheetView>
  </sheetViews>
  <sheetFormatPr defaultColWidth="9" defaultRowHeight="14.4"/>
  <cols>
    <col min="1" max="1" width="11.33203125" customWidth="1"/>
    <col min="2" max="2" width="10.33203125" customWidth="1"/>
    <col min="3" max="3" width="13.5546875" customWidth="1"/>
    <col min="4" max="4" width="13.21875" customWidth="1"/>
    <col min="5" max="5" width="10.21875" customWidth="1"/>
    <col min="7" max="7" width="13.44140625" customWidth="1"/>
    <col min="8" max="8" width="21.88671875" customWidth="1"/>
    <col min="9" max="9" width="21" customWidth="1"/>
    <col min="10" max="10" width="15.109375" customWidth="1"/>
    <col min="11" max="11" width="14.77734375" customWidth="1"/>
    <col min="12" max="12" width="12.6640625" customWidth="1"/>
    <col min="13" max="13" width="14.88671875" customWidth="1"/>
    <col min="14" max="14" width="13.44140625" customWidth="1"/>
    <col min="15" max="15" width="13" customWidth="1"/>
    <col min="16" max="16" width="18.6640625" customWidth="1"/>
    <col min="17" max="17" width="16.33203125" customWidth="1"/>
    <col min="18" max="18" width="15.44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1012</v>
      </c>
      <c r="B2" t="s">
        <v>1013</v>
      </c>
      <c r="C2" t="s">
        <v>1014</v>
      </c>
      <c r="D2" t="s">
        <v>21</v>
      </c>
      <c r="E2" t="s">
        <v>42</v>
      </c>
      <c r="F2" t="s">
        <v>35</v>
      </c>
      <c r="G2" s="13">
        <v>45815</v>
      </c>
      <c r="H2">
        <v>144</v>
      </c>
      <c r="I2">
        <v>40.29</v>
      </c>
      <c r="J2" t="s">
        <v>173</v>
      </c>
      <c r="K2" t="s">
        <v>66</v>
      </c>
      <c r="L2" t="s">
        <v>26</v>
      </c>
      <c r="M2">
        <v>1</v>
      </c>
      <c r="N2" t="s">
        <v>30</v>
      </c>
      <c r="O2" t="s">
        <v>964</v>
      </c>
      <c r="P2" t="s">
        <v>29</v>
      </c>
      <c r="Q2" t="s">
        <v>30</v>
      </c>
      <c r="R2">
        <v>1</v>
      </c>
    </row>
    <row r="3" spans="1:18">
      <c r="A3" t="s">
        <v>997</v>
      </c>
      <c r="B3" t="s">
        <v>998</v>
      </c>
      <c r="C3" t="s">
        <v>999</v>
      </c>
      <c r="D3" t="s">
        <v>21</v>
      </c>
      <c r="E3" t="s">
        <v>34</v>
      </c>
      <c r="F3" t="s">
        <v>73</v>
      </c>
      <c r="G3" s="13">
        <v>45816</v>
      </c>
      <c r="H3">
        <v>168</v>
      </c>
      <c r="I3">
        <v>0</v>
      </c>
      <c r="J3" t="s">
        <v>36</v>
      </c>
      <c r="K3" t="s">
        <v>25</v>
      </c>
      <c r="L3" t="s">
        <v>37</v>
      </c>
      <c r="M3">
        <v>18</v>
      </c>
      <c r="N3" t="s">
        <v>30</v>
      </c>
      <c r="O3" t="s">
        <v>964</v>
      </c>
      <c r="P3" t="s">
        <v>29</v>
      </c>
      <c r="Q3" t="s">
        <v>27</v>
      </c>
      <c r="R3">
        <v>1</v>
      </c>
    </row>
    <row r="4" spans="1:18">
      <c r="A4" t="s">
        <v>985</v>
      </c>
      <c r="B4" t="s">
        <v>986</v>
      </c>
      <c r="C4" t="s">
        <v>987</v>
      </c>
      <c r="D4" t="s">
        <v>21</v>
      </c>
      <c r="E4" t="s">
        <v>34</v>
      </c>
      <c r="F4" t="s">
        <v>80</v>
      </c>
      <c r="G4" s="13">
        <v>45819</v>
      </c>
      <c r="H4">
        <v>172</v>
      </c>
      <c r="I4">
        <v>0</v>
      </c>
      <c r="J4" t="s">
        <v>36</v>
      </c>
      <c r="K4" t="s">
        <v>66</v>
      </c>
      <c r="L4" t="s">
        <v>37</v>
      </c>
      <c r="M4">
        <v>21</v>
      </c>
      <c r="N4" t="s">
        <v>30</v>
      </c>
      <c r="O4" t="s">
        <v>964</v>
      </c>
      <c r="P4" t="s">
        <v>29</v>
      </c>
      <c r="Q4" t="s">
        <v>27</v>
      </c>
      <c r="R4">
        <v>1</v>
      </c>
    </row>
    <row r="5" spans="1:18">
      <c r="A5" t="s">
        <v>983</v>
      </c>
      <c r="B5" t="s">
        <v>926</v>
      </c>
      <c r="C5" t="s">
        <v>984</v>
      </c>
      <c r="D5" t="s">
        <v>49</v>
      </c>
      <c r="E5" t="s">
        <v>34</v>
      </c>
      <c r="F5" t="s">
        <v>43</v>
      </c>
      <c r="G5" s="13">
        <v>45819</v>
      </c>
      <c r="H5">
        <v>153</v>
      </c>
      <c r="I5">
        <v>0</v>
      </c>
      <c r="J5" t="s">
        <v>36</v>
      </c>
      <c r="K5" t="s">
        <v>25</v>
      </c>
      <c r="L5" t="s">
        <v>37</v>
      </c>
      <c r="M5">
        <v>48</v>
      </c>
      <c r="N5" t="s">
        <v>30</v>
      </c>
      <c r="O5" t="s">
        <v>964</v>
      </c>
      <c r="P5" t="s">
        <v>29</v>
      </c>
      <c r="Q5" t="s">
        <v>27</v>
      </c>
      <c r="R5">
        <v>1</v>
      </c>
    </row>
    <row r="6" spans="1:18">
      <c r="A6" t="s">
        <v>974</v>
      </c>
      <c r="B6" t="s">
        <v>975</v>
      </c>
      <c r="C6" t="s">
        <v>976</v>
      </c>
      <c r="D6" t="s">
        <v>57</v>
      </c>
      <c r="E6" t="s">
        <v>42</v>
      </c>
      <c r="F6" t="s">
        <v>58</v>
      </c>
      <c r="G6" s="13">
        <v>45811</v>
      </c>
      <c r="H6">
        <v>165</v>
      </c>
      <c r="I6">
        <v>0</v>
      </c>
      <c r="J6" t="s">
        <v>36</v>
      </c>
      <c r="K6" t="s">
        <v>25</v>
      </c>
      <c r="L6" t="s">
        <v>37</v>
      </c>
      <c r="M6">
        <v>41</v>
      </c>
      <c r="N6" t="s">
        <v>30</v>
      </c>
      <c r="O6" t="s">
        <v>964</v>
      </c>
      <c r="P6" t="s">
        <v>29</v>
      </c>
      <c r="Q6" t="s">
        <v>27</v>
      </c>
      <c r="R6">
        <v>1</v>
      </c>
    </row>
    <row r="7" spans="1:18">
      <c r="A7" t="s">
        <v>54</v>
      </c>
      <c r="B7" t="s">
        <v>55</v>
      </c>
      <c r="C7" t="s">
        <v>56</v>
      </c>
      <c r="D7" t="s">
        <v>57</v>
      </c>
      <c r="E7" t="s">
        <v>22</v>
      </c>
      <c r="F7" t="s">
        <v>58</v>
      </c>
      <c r="G7" s="13">
        <v>45646</v>
      </c>
      <c r="H7">
        <v>154</v>
      </c>
      <c r="I7">
        <v>0</v>
      </c>
      <c r="J7" t="s">
        <v>36</v>
      </c>
      <c r="K7" t="s">
        <v>25</v>
      </c>
      <c r="L7" t="s">
        <v>37</v>
      </c>
      <c r="M7">
        <v>11</v>
      </c>
      <c r="N7" t="s">
        <v>30</v>
      </c>
      <c r="O7" t="s">
        <v>28</v>
      </c>
      <c r="P7" t="s">
        <v>29</v>
      </c>
      <c r="Q7" t="s">
        <v>27</v>
      </c>
      <c r="R7">
        <v>1</v>
      </c>
    </row>
    <row r="8" spans="1:18">
      <c r="A8" t="s">
        <v>59</v>
      </c>
      <c r="B8" t="s">
        <v>60</v>
      </c>
      <c r="C8" t="s">
        <v>61</v>
      </c>
      <c r="D8" t="s">
        <v>62</v>
      </c>
      <c r="E8" t="s">
        <v>42</v>
      </c>
      <c r="F8" t="s">
        <v>43</v>
      </c>
      <c r="G8" s="13">
        <v>45646</v>
      </c>
      <c r="H8">
        <v>164</v>
      </c>
      <c r="I8">
        <v>0</v>
      </c>
      <c r="J8" t="s">
        <v>36</v>
      </c>
      <c r="K8" t="s">
        <v>25</v>
      </c>
      <c r="L8" t="s">
        <v>26</v>
      </c>
      <c r="M8">
        <v>19</v>
      </c>
      <c r="N8" t="s">
        <v>30</v>
      </c>
      <c r="O8" t="s">
        <v>28</v>
      </c>
      <c r="P8" t="s">
        <v>29</v>
      </c>
      <c r="Q8" t="s">
        <v>27</v>
      </c>
      <c r="R8">
        <v>1</v>
      </c>
    </row>
    <row r="9" spans="1:18">
      <c r="A9" t="s">
        <v>971</v>
      </c>
      <c r="B9" t="s">
        <v>972</v>
      </c>
      <c r="C9" t="s">
        <v>973</v>
      </c>
      <c r="D9" t="s">
        <v>49</v>
      </c>
      <c r="E9" t="s">
        <v>34</v>
      </c>
      <c r="F9" t="s">
        <v>23</v>
      </c>
      <c r="G9" s="13">
        <v>45814</v>
      </c>
      <c r="H9">
        <v>152</v>
      </c>
      <c r="I9">
        <v>0</v>
      </c>
      <c r="J9" t="s">
        <v>36</v>
      </c>
      <c r="K9" t="s">
        <v>25</v>
      </c>
      <c r="L9" t="s">
        <v>37</v>
      </c>
      <c r="M9">
        <v>21</v>
      </c>
      <c r="N9" t="s">
        <v>30</v>
      </c>
      <c r="O9" t="s">
        <v>964</v>
      </c>
      <c r="P9" t="s">
        <v>29</v>
      </c>
      <c r="Q9" t="s">
        <v>27</v>
      </c>
      <c r="R9">
        <v>1</v>
      </c>
    </row>
    <row r="10" spans="1:18">
      <c r="A10" t="s">
        <v>67</v>
      </c>
      <c r="B10" t="s">
        <v>68</v>
      </c>
      <c r="C10" t="s">
        <v>69</v>
      </c>
      <c r="D10" t="s">
        <v>57</v>
      </c>
      <c r="E10" t="s">
        <v>34</v>
      </c>
      <c r="F10" t="s">
        <v>23</v>
      </c>
      <c r="G10" s="13">
        <v>45656</v>
      </c>
      <c r="H10">
        <v>165</v>
      </c>
      <c r="I10">
        <v>0</v>
      </c>
      <c r="J10" t="s">
        <v>36</v>
      </c>
      <c r="K10" t="s">
        <v>45</v>
      </c>
      <c r="L10" t="s">
        <v>37</v>
      </c>
      <c r="M10">
        <v>48</v>
      </c>
      <c r="N10" t="s">
        <v>30</v>
      </c>
      <c r="O10" t="s">
        <v>28</v>
      </c>
      <c r="P10" t="s">
        <v>29</v>
      </c>
      <c r="Q10" t="s">
        <v>27</v>
      </c>
      <c r="R10">
        <v>1</v>
      </c>
    </row>
    <row r="11" spans="1:18">
      <c r="A11" t="s">
        <v>961</v>
      </c>
      <c r="B11" t="s">
        <v>962</v>
      </c>
      <c r="C11" t="s">
        <v>963</v>
      </c>
      <c r="D11" t="s">
        <v>41</v>
      </c>
      <c r="E11" t="s">
        <v>22</v>
      </c>
      <c r="F11" t="s">
        <v>23</v>
      </c>
      <c r="G11" s="13">
        <v>45820</v>
      </c>
      <c r="H11">
        <v>153</v>
      </c>
      <c r="I11">
        <v>0</v>
      </c>
      <c r="J11" t="s">
        <v>36</v>
      </c>
      <c r="K11" t="s">
        <v>25</v>
      </c>
      <c r="L11" t="s">
        <v>37</v>
      </c>
      <c r="M11">
        <v>18</v>
      </c>
      <c r="N11" t="s">
        <v>30</v>
      </c>
      <c r="O11" t="s">
        <v>964</v>
      </c>
      <c r="P11" t="s">
        <v>29</v>
      </c>
      <c r="Q11" t="s">
        <v>27</v>
      </c>
      <c r="R11">
        <v>1</v>
      </c>
    </row>
    <row r="12" spans="1:18">
      <c r="A12" t="s">
        <v>949</v>
      </c>
      <c r="B12" t="s">
        <v>950</v>
      </c>
      <c r="C12" t="s">
        <v>951</v>
      </c>
      <c r="D12" t="s">
        <v>41</v>
      </c>
      <c r="E12" t="s">
        <v>22</v>
      </c>
      <c r="F12" t="s">
        <v>58</v>
      </c>
      <c r="G12" s="13">
        <v>45785</v>
      </c>
      <c r="H12">
        <v>122</v>
      </c>
      <c r="I12">
        <v>40.31</v>
      </c>
      <c r="J12" t="s">
        <v>44</v>
      </c>
      <c r="K12" t="s">
        <v>25</v>
      </c>
      <c r="L12" t="s">
        <v>26</v>
      </c>
      <c r="M12">
        <v>33</v>
      </c>
      <c r="N12" t="s">
        <v>30</v>
      </c>
      <c r="O12" t="s">
        <v>754</v>
      </c>
      <c r="P12" t="s">
        <v>29</v>
      </c>
      <c r="Q12" t="s">
        <v>30</v>
      </c>
      <c r="R12">
        <v>1</v>
      </c>
    </row>
    <row r="13" spans="1:18">
      <c r="A13" t="s">
        <v>77</v>
      </c>
      <c r="B13" t="s">
        <v>78</v>
      </c>
      <c r="C13" t="s">
        <v>79</v>
      </c>
      <c r="D13" t="s">
        <v>21</v>
      </c>
      <c r="E13" t="s">
        <v>22</v>
      </c>
      <c r="F13" t="s">
        <v>80</v>
      </c>
      <c r="G13" s="13">
        <v>45648</v>
      </c>
      <c r="H13">
        <v>156</v>
      </c>
      <c r="I13">
        <v>0</v>
      </c>
      <c r="J13" t="s">
        <v>36</v>
      </c>
      <c r="K13" t="s">
        <v>25</v>
      </c>
      <c r="L13" t="s">
        <v>26</v>
      </c>
      <c r="M13">
        <v>45</v>
      </c>
      <c r="N13" t="s">
        <v>30</v>
      </c>
      <c r="O13" t="s">
        <v>28</v>
      </c>
      <c r="P13" t="s">
        <v>29</v>
      </c>
      <c r="Q13" t="s">
        <v>27</v>
      </c>
      <c r="R13">
        <v>1</v>
      </c>
    </row>
    <row r="14" spans="1:18">
      <c r="A14" t="s">
        <v>81</v>
      </c>
      <c r="B14" t="s">
        <v>82</v>
      </c>
      <c r="C14" t="s">
        <v>83</v>
      </c>
      <c r="D14" t="s">
        <v>21</v>
      </c>
      <c r="E14" t="s">
        <v>42</v>
      </c>
      <c r="F14" t="s">
        <v>73</v>
      </c>
      <c r="G14" s="13">
        <v>45645</v>
      </c>
      <c r="H14">
        <v>176</v>
      </c>
      <c r="I14">
        <v>0</v>
      </c>
      <c r="J14" t="s">
        <v>36</v>
      </c>
      <c r="K14" t="s">
        <v>25</v>
      </c>
      <c r="L14" t="s">
        <v>37</v>
      </c>
      <c r="M14">
        <v>18</v>
      </c>
      <c r="N14" t="s">
        <v>30</v>
      </c>
      <c r="O14" t="s">
        <v>28</v>
      </c>
      <c r="P14" t="s">
        <v>29</v>
      </c>
      <c r="Q14" t="s">
        <v>27</v>
      </c>
      <c r="R14">
        <v>1</v>
      </c>
    </row>
    <row r="15" spans="1:18">
      <c r="A15" t="s">
        <v>946</v>
      </c>
      <c r="B15" t="s">
        <v>947</v>
      </c>
      <c r="C15" t="s">
        <v>948</v>
      </c>
      <c r="D15" t="s">
        <v>57</v>
      </c>
      <c r="E15" t="s">
        <v>34</v>
      </c>
      <c r="F15" t="s">
        <v>35</v>
      </c>
      <c r="G15" s="13">
        <v>45801</v>
      </c>
      <c r="H15">
        <v>155</v>
      </c>
      <c r="I15">
        <v>31.24</v>
      </c>
      <c r="J15" t="s">
        <v>44</v>
      </c>
      <c r="K15" t="s">
        <v>25</v>
      </c>
      <c r="L15" t="s">
        <v>26</v>
      </c>
      <c r="M15">
        <v>33</v>
      </c>
      <c r="N15" t="s">
        <v>30</v>
      </c>
      <c r="O15" t="s">
        <v>754</v>
      </c>
      <c r="P15" t="s">
        <v>29</v>
      </c>
      <c r="Q15" t="s">
        <v>30</v>
      </c>
      <c r="R15">
        <v>1</v>
      </c>
    </row>
    <row r="16" spans="1:18">
      <c r="A16" t="s">
        <v>940</v>
      </c>
      <c r="B16" t="s">
        <v>941</v>
      </c>
      <c r="C16" t="s">
        <v>942</v>
      </c>
      <c r="D16" t="s">
        <v>21</v>
      </c>
      <c r="E16" t="s">
        <v>42</v>
      </c>
      <c r="F16" t="s">
        <v>80</v>
      </c>
      <c r="G16" s="13">
        <v>45789</v>
      </c>
      <c r="H16">
        <v>168</v>
      </c>
      <c r="I16">
        <v>33.729999999999997</v>
      </c>
      <c r="J16" t="s">
        <v>44</v>
      </c>
      <c r="K16" t="s">
        <v>25</v>
      </c>
      <c r="L16" t="s">
        <v>26</v>
      </c>
      <c r="M16">
        <v>48</v>
      </c>
      <c r="N16" t="s">
        <v>30</v>
      </c>
      <c r="O16" t="s">
        <v>754</v>
      </c>
      <c r="P16" t="s">
        <v>29</v>
      </c>
      <c r="Q16" t="s">
        <v>30</v>
      </c>
      <c r="R16">
        <v>1</v>
      </c>
    </row>
    <row r="17" spans="1:18">
      <c r="A17" t="s">
        <v>937</v>
      </c>
      <c r="B17" t="s">
        <v>938</v>
      </c>
      <c r="C17" t="s">
        <v>939</v>
      </c>
      <c r="D17" t="s">
        <v>21</v>
      </c>
      <c r="E17" t="s">
        <v>42</v>
      </c>
      <c r="F17" t="s">
        <v>58</v>
      </c>
      <c r="G17" s="13">
        <v>45797</v>
      </c>
      <c r="H17">
        <v>164</v>
      </c>
      <c r="I17">
        <v>14.33</v>
      </c>
      <c r="J17" t="s">
        <v>129</v>
      </c>
      <c r="K17" t="s">
        <v>25</v>
      </c>
      <c r="L17" t="s">
        <v>26</v>
      </c>
      <c r="M17">
        <v>4</v>
      </c>
      <c r="N17" t="s">
        <v>30</v>
      </c>
      <c r="O17" t="s">
        <v>754</v>
      </c>
      <c r="P17" t="s">
        <v>29</v>
      </c>
      <c r="Q17" t="s">
        <v>30</v>
      </c>
      <c r="R17">
        <v>1</v>
      </c>
    </row>
    <row r="18" spans="1:18">
      <c r="A18" t="s">
        <v>93</v>
      </c>
      <c r="B18" t="s">
        <v>94</v>
      </c>
      <c r="C18" t="s">
        <v>95</v>
      </c>
      <c r="D18" t="s">
        <v>21</v>
      </c>
      <c r="E18" t="s">
        <v>42</v>
      </c>
      <c r="F18" t="s">
        <v>80</v>
      </c>
      <c r="G18" s="13">
        <v>45641</v>
      </c>
      <c r="H18">
        <v>159</v>
      </c>
      <c r="I18">
        <v>0</v>
      </c>
      <c r="J18" t="s">
        <v>36</v>
      </c>
      <c r="K18" t="s">
        <v>25</v>
      </c>
      <c r="L18" t="s">
        <v>37</v>
      </c>
      <c r="M18">
        <v>14</v>
      </c>
      <c r="N18" t="s">
        <v>30</v>
      </c>
      <c r="O18" t="s">
        <v>28</v>
      </c>
      <c r="P18" t="s">
        <v>29</v>
      </c>
      <c r="Q18" t="s">
        <v>27</v>
      </c>
      <c r="R18">
        <v>1</v>
      </c>
    </row>
    <row r="19" spans="1:18">
      <c r="A19" t="s">
        <v>934</v>
      </c>
      <c r="B19" t="s">
        <v>935</v>
      </c>
      <c r="C19" t="s">
        <v>936</v>
      </c>
      <c r="D19" t="s">
        <v>57</v>
      </c>
      <c r="E19" t="s">
        <v>42</v>
      </c>
      <c r="F19" t="s">
        <v>80</v>
      </c>
      <c r="G19" s="13">
        <v>45807</v>
      </c>
      <c r="H19">
        <v>165</v>
      </c>
      <c r="I19">
        <v>0</v>
      </c>
      <c r="J19" t="s">
        <v>36</v>
      </c>
      <c r="K19" t="s">
        <v>25</v>
      </c>
      <c r="L19" t="s">
        <v>37</v>
      </c>
      <c r="M19">
        <v>15</v>
      </c>
      <c r="N19" t="s">
        <v>30</v>
      </c>
      <c r="O19" t="s">
        <v>754</v>
      </c>
      <c r="P19" t="s">
        <v>29</v>
      </c>
      <c r="Q19" t="s">
        <v>27</v>
      </c>
      <c r="R19">
        <v>1</v>
      </c>
    </row>
    <row r="20" spans="1:18">
      <c r="A20" t="s">
        <v>925</v>
      </c>
      <c r="B20" t="s">
        <v>926</v>
      </c>
      <c r="C20" t="s">
        <v>927</v>
      </c>
      <c r="D20" t="s">
        <v>21</v>
      </c>
      <c r="E20" t="s">
        <v>42</v>
      </c>
      <c r="F20" t="s">
        <v>58</v>
      </c>
      <c r="G20" s="13">
        <v>45804</v>
      </c>
      <c r="H20">
        <v>176</v>
      </c>
      <c r="I20">
        <v>44.39</v>
      </c>
      <c r="J20" t="s">
        <v>44</v>
      </c>
      <c r="K20" t="s">
        <v>25</v>
      </c>
      <c r="L20" t="s">
        <v>26</v>
      </c>
      <c r="M20">
        <v>18</v>
      </c>
      <c r="N20" t="s">
        <v>30</v>
      </c>
      <c r="O20" t="s">
        <v>754</v>
      </c>
      <c r="P20" t="s">
        <v>29</v>
      </c>
      <c r="Q20" t="s">
        <v>30</v>
      </c>
      <c r="R20">
        <v>1</v>
      </c>
    </row>
    <row r="21" spans="1:18">
      <c r="A21" t="s">
        <v>102</v>
      </c>
      <c r="B21" t="s">
        <v>103</v>
      </c>
      <c r="C21" t="s">
        <v>104</v>
      </c>
      <c r="D21" t="s">
        <v>21</v>
      </c>
      <c r="E21" t="s">
        <v>42</v>
      </c>
      <c r="F21" t="s">
        <v>23</v>
      </c>
      <c r="G21" s="13">
        <v>45656</v>
      </c>
      <c r="H21">
        <v>156</v>
      </c>
      <c r="I21">
        <v>0</v>
      </c>
      <c r="J21" t="s">
        <v>36</v>
      </c>
      <c r="K21" t="s">
        <v>25</v>
      </c>
      <c r="L21" t="s">
        <v>37</v>
      </c>
      <c r="M21">
        <v>34</v>
      </c>
      <c r="N21" t="s">
        <v>30</v>
      </c>
      <c r="O21" t="s">
        <v>28</v>
      </c>
      <c r="P21" t="s">
        <v>29</v>
      </c>
      <c r="Q21" t="s">
        <v>27</v>
      </c>
      <c r="R21">
        <v>1</v>
      </c>
    </row>
    <row r="22" spans="1:18">
      <c r="A22" t="s">
        <v>913</v>
      </c>
      <c r="B22" t="s">
        <v>914</v>
      </c>
      <c r="C22" t="s">
        <v>915</v>
      </c>
      <c r="D22" t="s">
        <v>21</v>
      </c>
      <c r="E22" t="s">
        <v>42</v>
      </c>
      <c r="F22" t="s">
        <v>73</v>
      </c>
      <c r="G22" s="13">
        <v>45786</v>
      </c>
      <c r="H22">
        <v>146</v>
      </c>
      <c r="I22">
        <v>43.02</v>
      </c>
      <c r="J22" t="s">
        <v>129</v>
      </c>
      <c r="K22" t="s">
        <v>25</v>
      </c>
      <c r="L22" t="s">
        <v>26</v>
      </c>
      <c r="M22">
        <v>24</v>
      </c>
      <c r="N22" t="s">
        <v>30</v>
      </c>
      <c r="O22" t="s">
        <v>754</v>
      </c>
      <c r="P22" t="s">
        <v>29</v>
      </c>
      <c r="Q22" t="s">
        <v>30</v>
      </c>
      <c r="R22">
        <v>1</v>
      </c>
    </row>
    <row r="23" spans="1:18">
      <c r="A23" t="s">
        <v>874</v>
      </c>
      <c r="B23" t="s">
        <v>875</v>
      </c>
      <c r="C23" t="s">
        <v>876</v>
      </c>
      <c r="D23" t="s">
        <v>57</v>
      </c>
      <c r="E23" t="s">
        <v>42</v>
      </c>
      <c r="F23" t="s">
        <v>73</v>
      </c>
      <c r="G23" s="13">
        <v>45797</v>
      </c>
      <c r="H23">
        <v>153</v>
      </c>
      <c r="I23">
        <v>0</v>
      </c>
      <c r="J23" t="s">
        <v>36</v>
      </c>
      <c r="K23" t="s">
        <v>25</v>
      </c>
      <c r="L23" t="s">
        <v>37</v>
      </c>
      <c r="M23">
        <v>1</v>
      </c>
      <c r="N23" t="s">
        <v>30</v>
      </c>
      <c r="O23" t="s">
        <v>754</v>
      </c>
      <c r="P23" t="s">
        <v>29</v>
      </c>
      <c r="Q23" t="s">
        <v>27</v>
      </c>
      <c r="R23">
        <v>1</v>
      </c>
    </row>
    <row r="24" spans="1:18">
      <c r="A24" t="s">
        <v>111</v>
      </c>
      <c r="B24" t="s">
        <v>112</v>
      </c>
      <c r="C24" t="s">
        <v>113</v>
      </c>
      <c r="D24" t="s">
        <v>57</v>
      </c>
      <c r="E24" t="s">
        <v>34</v>
      </c>
      <c r="F24" t="s">
        <v>80</v>
      </c>
      <c r="G24" s="13">
        <v>45651</v>
      </c>
      <c r="H24">
        <v>167</v>
      </c>
      <c r="I24">
        <v>0</v>
      </c>
      <c r="J24" t="s">
        <v>36</v>
      </c>
      <c r="K24" t="s">
        <v>25</v>
      </c>
      <c r="L24" t="s">
        <v>26</v>
      </c>
      <c r="M24">
        <v>37</v>
      </c>
      <c r="N24" t="s">
        <v>30</v>
      </c>
      <c r="O24" t="s">
        <v>28</v>
      </c>
      <c r="P24" t="s">
        <v>29</v>
      </c>
      <c r="Q24" t="s">
        <v>27</v>
      </c>
      <c r="R24">
        <v>1</v>
      </c>
    </row>
    <row r="25" spans="1:18">
      <c r="A25" t="s">
        <v>857</v>
      </c>
      <c r="B25" t="s">
        <v>858</v>
      </c>
      <c r="C25" t="s">
        <v>859</v>
      </c>
      <c r="D25" t="s">
        <v>57</v>
      </c>
      <c r="E25" t="s">
        <v>42</v>
      </c>
      <c r="F25" t="s">
        <v>35</v>
      </c>
      <c r="G25" s="13">
        <v>45794</v>
      </c>
      <c r="H25">
        <v>153</v>
      </c>
      <c r="I25">
        <v>0</v>
      </c>
      <c r="J25" t="s">
        <v>36</v>
      </c>
      <c r="K25" t="s">
        <v>25</v>
      </c>
      <c r="L25" t="s">
        <v>37</v>
      </c>
      <c r="M25">
        <v>45</v>
      </c>
      <c r="N25" t="s">
        <v>30</v>
      </c>
      <c r="O25" t="s">
        <v>754</v>
      </c>
      <c r="P25" t="s">
        <v>29</v>
      </c>
      <c r="Q25" t="s">
        <v>27</v>
      </c>
      <c r="R25">
        <v>1</v>
      </c>
    </row>
    <row r="26" spans="1:18">
      <c r="A26" t="s">
        <v>851</v>
      </c>
      <c r="B26" t="s">
        <v>852</v>
      </c>
      <c r="C26" t="s">
        <v>853</v>
      </c>
      <c r="D26" t="s">
        <v>21</v>
      </c>
      <c r="E26" t="s">
        <v>22</v>
      </c>
      <c r="F26" t="s">
        <v>43</v>
      </c>
      <c r="G26" s="13">
        <v>45792</v>
      </c>
      <c r="H26">
        <v>171</v>
      </c>
      <c r="I26">
        <v>18.03</v>
      </c>
      <c r="J26" t="s">
        <v>129</v>
      </c>
      <c r="K26" t="s">
        <v>25</v>
      </c>
      <c r="L26" t="s">
        <v>26</v>
      </c>
      <c r="M26">
        <v>43</v>
      </c>
      <c r="N26" t="s">
        <v>30</v>
      </c>
      <c r="O26" t="s">
        <v>754</v>
      </c>
      <c r="P26" t="s">
        <v>29</v>
      </c>
      <c r="Q26" t="s">
        <v>30</v>
      </c>
      <c r="R26">
        <v>1</v>
      </c>
    </row>
    <row r="27" spans="1:18">
      <c r="A27" t="s">
        <v>120</v>
      </c>
      <c r="B27" t="s">
        <v>121</v>
      </c>
      <c r="C27" t="s">
        <v>122</v>
      </c>
      <c r="D27" t="s">
        <v>21</v>
      </c>
      <c r="E27" t="s">
        <v>22</v>
      </c>
      <c r="F27" t="s">
        <v>58</v>
      </c>
      <c r="G27" s="13">
        <v>45652</v>
      </c>
      <c r="H27">
        <v>154</v>
      </c>
      <c r="I27">
        <v>0</v>
      </c>
      <c r="J27" t="s">
        <v>36</v>
      </c>
      <c r="K27" t="s">
        <v>25</v>
      </c>
      <c r="L27" t="s">
        <v>37</v>
      </c>
      <c r="M27">
        <v>22</v>
      </c>
      <c r="N27" t="s">
        <v>30</v>
      </c>
      <c r="O27" t="s">
        <v>28</v>
      </c>
      <c r="P27" t="s">
        <v>29</v>
      </c>
      <c r="Q27" t="s">
        <v>27</v>
      </c>
      <c r="R27">
        <v>1</v>
      </c>
    </row>
    <row r="28" spans="1:18">
      <c r="A28" t="s">
        <v>123</v>
      </c>
      <c r="B28" t="s">
        <v>124</v>
      </c>
      <c r="C28" t="s">
        <v>125</v>
      </c>
      <c r="D28" t="s">
        <v>49</v>
      </c>
      <c r="E28" t="s">
        <v>42</v>
      </c>
      <c r="F28" t="s">
        <v>58</v>
      </c>
      <c r="G28" s="13">
        <v>45639</v>
      </c>
      <c r="H28">
        <v>177</v>
      </c>
      <c r="I28">
        <v>0</v>
      </c>
      <c r="J28" t="s">
        <v>36</v>
      </c>
      <c r="K28" t="s">
        <v>25</v>
      </c>
      <c r="L28" t="s">
        <v>37</v>
      </c>
      <c r="M28">
        <v>25</v>
      </c>
      <c r="N28" t="s">
        <v>30</v>
      </c>
      <c r="O28" t="s">
        <v>28</v>
      </c>
      <c r="P28" t="s">
        <v>29</v>
      </c>
      <c r="Q28" t="s">
        <v>27</v>
      </c>
      <c r="R28">
        <v>1</v>
      </c>
    </row>
    <row r="29" spans="1:18">
      <c r="A29" t="s">
        <v>833</v>
      </c>
      <c r="B29" t="s">
        <v>834</v>
      </c>
      <c r="C29" t="s">
        <v>835</v>
      </c>
      <c r="D29" t="s">
        <v>57</v>
      </c>
      <c r="E29" t="s">
        <v>42</v>
      </c>
      <c r="F29" t="s">
        <v>43</v>
      </c>
      <c r="G29" s="13">
        <v>45793</v>
      </c>
      <c r="H29">
        <v>166</v>
      </c>
      <c r="I29">
        <v>0</v>
      </c>
      <c r="J29" t="s">
        <v>36</v>
      </c>
      <c r="K29" t="s">
        <v>25</v>
      </c>
      <c r="L29" t="s">
        <v>37</v>
      </c>
      <c r="M29">
        <v>27</v>
      </c>
      <c r="N29" t="s">
        <v>30</v>
      </c>
      <c r="O29" t="s">
        <v>754</v>
      </c>
      <c r="P29" t="s">
        <v>29</v>
      </c>
      <c r="Q29" t="s">
        <v>27</v>
      </c>
      <c r="R29">
        <v>1</v>
      </c>
    </row>
    <row r="30" spans="1:18">
      <c r="A30" t="s">
        <v>830</v>
      </c>
      <c r="B30" t="s">
        <v>831</v>
      </c>
      <c r="C30" t="s">
        <v>832</v>
      </c>
      <c r="D30" t="s">
        <v>57</v>
      </c>
      <c r="E30" t="s">
        <v>22</v>
      </c>
      <c r="F30" t="s">
        <v>23</v>
      </c>
      <c r="G30" s="13">
        <v>45802</v>
      </c>
      <c r="H30">
        <v>172</v>
      </c>
      <c r="I30">
        <v>0</v>
      </c>
      <c r="J30" t="s">
        <v>36</v>
      </c>
      <c r="K30" t="s">
        <v>25</v>
      </c>
      <c r="L30" t="s">
        <v>37</v>
      </c>
      <c r="M30">
        <v>50</v>
      </c>
      <c r="N30" t="s">
        <v>30</v>
      </c>
      <c r="O30" t="s">
        <v>754</v>
      </c>
      <c r="P30" t="s">
        <v>29</v>
      </c>
      <c r="Q30" t="s">
        <v>27</v>
      </c>
      <c r="R30">
        <v>1</v>
      </c>
    </row>
    <row r="31" spans="1:18">
      <c r="A31" t="s">
        <v>133</v>
      </c>
      <c r="B31" t="s">
        <v>134</v>
      </c>
      <c r="C31" t="s">
        <v>135</v>
      </c>
      <c r="D31" t="s">
        <v>57</v>
      </c>
      <c r="E31" t="s">
        <v>34</v>
      </c>
      <c r="F31" t="s">
        <v>35</v>
      </c>
      <c r="G31" s="13">
        <v>45650</v>
      </c>
      <c r="H31">
        <v>175</v>
      </c>
      <c r="I31">
        <v>0</v>
      </c>
      <c r="J31" t="s">
        <v>36</v>
      </c>
      <c r="K31" t="s">
        <v>53</v>
      </c>
      <c r="L31" t="s">
        <v>37</v>
      </c>
      <c r="M31">
        <v>22</v>
      </c>
      <c r="N31" t="s">
        <v>30</v>
      </c>
      <c r="O31" t="s">
        <v>28</v>
      </c>
      <c r="P31" t="s">
        <v>29</v>
      </c>
      <c r="Q31" t="s">
        <v>27</v>
      </c>
      <c r="R31">
        <v>1</v>
      </c>
    </row>
    <row r="32" spans="1:18">
      <c r="A32" t="s">
        <v>136</v>
      </c>
      <c r="B32" t="s">
        <v>137</v>
      </c>
      <c r="C32" t="s">
        <v>138</v>
      </c>
      <c r="D32" t="s">
        <v>41</v>
      </c>
      <c r="E32" t="s">
        <v>22</v>
      </c>
      <c r="F32" t="s">
        <v>35</v>
      </c>
      <c r="G32" s="13">
        <v>45655</v>
      </c>
      <c r="H32">
        <v>166</v>
      </c>
      <c r="I32">
        <v>0</v>
      </c>
      <c r="J32" t="s">
        <v>36</v>
      </c>
      <c r="K32" t="s">
        <v>53</v>
      </c>
      <c r="L32" t="s">
        <v>37</v>
      </c>
      <c r="M32">
        <v>30</v>
      </c>
      <c r="N32" t="s">
        <v>30</v>
      </c>
      <c r="O32" t="s">
        <v>28</v>
      </c>
      <c r="P32" t="s">
        <v>29</v>
      </c>
      <c r="Q32" t="s">
        <v>27</v>
      </c>
      <c r="R32">
        <v>1</v>
      </c>
    </row>
    <row r="33" spans="1:18">
      <c r="A33" t="s">
        <v>139</v>
      </c>
      <c r="B33" t="s">
        <v>140</v>
      </c>
      <c r="C33" t="s">
        <v>141</v>
      </c>
      <c r="D33" t="s">
        <v>41</v>
      </c>
      <c r="E33" t="s">
        <v>34</v>
      </c>
      <c r="F33" t="s">
        <v>73</v>
      </c>
      <c r="G33" s="13">
        <v>45652</v>
      </c>
      <c r="H33">
        <v>154</v>
      </c>
      <c r="I33">
        <v>0</v>
      </c>
      <c r="J33" t="s">
        <v>36</v>
      </c>
      <c r="K33" t="s">
        <v>25</v>
      </c>
      <c r="L33" t="s">
        <v>26</v>
      </c>
      <c r="M33">
        <v>14</v>
      </c>
      <c r="N33" t="s">
        <v>30</v>
      </c>
      <c r="O33" t="s">
        <v>28</v>
      </c>
      <c r="P33" t="s">
        <v>29</v>
      </c>
      <c r="Q33" t="s">
        <v>27</v>
      </c>
      <c r="R33">
        <v>1</v>
      </c>
    </row>
    <row r="34" spans="1:18">
      <c r="A34" t="s">
        <v>142</v>
      </c>
      <c r="B34" t="s">
        <v>143</v>
      </c>
      <c r="C34" t="s">
        <v>144</v>
      </c>
      <c r="D34" t="s">
        <v>62</v>
      </c>
      <c r="E34" t="s">
        <v>34</v>
      </c>
      <c r="F34" t="s">
        <v>35</v>
      </c>
      <c r="G34" s="13">
        <v>45644</v>
      </c>
      <c r="H34">
        <v>174</v>
      </c>
      <c r="I34">
        <v>0</v>
      </c>
      <c r="J34" t="s">
        <v>36</v>
      </c>
      <c r="K34" t="s">
        <v>66</v>
      </c>
      <c r="L34" t="s">
        <v>37</v>
      </c>
      <c r="M34">
        <v>50</v>
      </c>
      <c r="N34" t="s">
        <v>30</v>
      </c>
      <c r="O34" t="s">
        <v>28</v>
      </c>
      <c r="P34" t="s">
        <v>29</v>
      </c>
      <c r="Q34" t="s">
        <v>27</v>
      </c>
      <c r="R34">
        <v>1</v>
      </c>
    </row>
    <row r="35" spans="1:18">
      <c r="A35" t="s">
        <v>827</v>
      </c>
      <c r="B35" t="s">
        <v>828</v>
      </c>
      <c r="C35" t="s">
        <v>829</v>
      </c>
      <c r="D35" t="s">
        <v>57</v>
      </c>
      <c r="E35" t="s">
        <v>34</v>
      </c>
      <c r="F35" t="s">
        <v>58</v>
      </c>
      <c r="G35" s="13">
        <v>45798</v>
      </c>
      <c r="H35">
        <v>164</v>
      </c>
      <c r="I35">
        <v>0</v>
      </c>
      <c r="J35" t="s">
        <v>36</v>
      </c>
      <c r="K35" t="s">
        <v>45</v>
      </c>
      <c r="L35" t="s">
        <v>26</v>
      </c>
      <c r="M35">
        <v>39</v>
      </c>
      <c r="N35" t="s">
        <v>30</v>
      </c>
      <c r="O35" t="s">
        <v>754</v>
      </c>
      <c r="P35" t="s">
        <v>29</v>
      </c>
      <c r="Q35" t="s">
        <v>27</v>
      </c>
      <c r="R35">
        <v>1</v>
      </c>
    </row>
    <row r="36" spans="1:18">
      <c r="A36" t="s">
        <v>148</v>
      </c>
      <c r="B36" t="s">
        <v>149</v>
      </c>
      <c r="C36" t="s">
        <v>150</v>
      </c>
      <c r="D36" t="s">
        <v>41</v>
      </c>
      <c r="E36" t="s">
        <v>42</v>
      </c>
      <c r="F36" t="s">
        <v>80</v>
      </c>
      <c r="G36" s="13">
        <v>45641</v>
      </c>
      <c r="H36">
        <v>175</v>
      </c>
      <c r="I36">
        <v>0</v>
      </c>
      <c r="J36" t="s">
        <v>36</v>
      </c>
      <c r="K36" t="s">
        <v>45</v>
      </c>
      <c r="L36" t="s">
        <v>26</v>
      </c>
      <c r="M36">
        <v>10</v>
      </c>
      <c r="N36" t="s">
        <v>30</v>
      </c>
      <c r="O36" t="s">
        <v>28</v>
      </c>
      <c r="P36" t="s">
        <v>29</v>
      </c>
      <c r="Q36" t="s">
        <v>27</v>
      </c>
      <c r="R36">
        <v>1</v>
      </c>
    </row>
    <row r="37" spans="1:18">
      <c r="A37" t="s">
        <v>151</v>
      </c>
      <c r="B37" t="s">
        <v>152</v>
      </c>
      <c r="C37" t="s">
        <v>153</v>
      </c>
      <c r="D37" t="s">
        <v>41</v>
      </c>
      <c r="E37" t="s">
        <v>22</v>
      </c>
      <c r="F37" t="s">
        <v>80</v>
      </c>
      <c r="G37" s="13">
        <v>45660</v>
      </c>
      <c r="H37">
        <v>172</v>
      </c>
      <c r="I37">
        <v>0</v>
      </c>
      <c r="J37" t="s">
        <v>36</v>
      </c>
      <c r="K37" t="s">
        <v>66</v>
      </c>
      <c r="L37" t="s">
        <v>37</v>
      </c>
      <c r="M37">
        <v>4</v>
      </c>
      <c r="N37" t="s">
        <v>30</v>
      </c>
      <c r="O37" t="s">
        <v>154</v>
      </c>
      <c r="P37" t="s">
        <v>29</v>
      </c>
      <c r="Q37" t="s">
        <v>27</v>
      </c>
      <c r="R37">
        <v>1</v>
      </c>
    </row>
    <row r="38" spans="1:18">
      <c r="A38" t="s">
        <v>155</v>
      </c>
      <c r="B38" t="s">
        <v>156</v>
      </c>
      <c r="C38" t="s">
        <v>157</v>
      </c>
      <c r="D38" t="s">
        <v>49</v>
      </c>
      <c r="E38" t="s">
        <v>42</v>
      </c>
      <c r="F38" t="s">
        <v>73</v>
      </c>
      <c r="G38" s="13">
        <v>45672</v>
      </c>
      <c r="H38">
        <v>171</v>
      </c>
      <c r="I38">
        <v>0</v>
      </c>
      <c r="J38" t="s">
        <v>36</v>
      </c>
      <c r="K38" t="s">
        <v>25</v>
      </c>
      <c r="L38" t="s">
        <v>37</v>
      </c>
      <c r="M38">
        <v>35</v>
      </c>
      <c r="N38" t="s">
        <v>30</v>
      </c>
      <c r="O38" t="s">
        <v>154</v>
      </c>
      <c r="P38" t="s">
        <v>29</v>
      </c>
      <c r="Q38" t="s">
        <v>27</v>
      </c>
      <c r="R38">
        <v>1</v>
      </c>
    </row>
    <row r="39" spans="1:18">
      <c r="A39" t="s">
        <v>158</v>
      </c>
      <c r="B39" t="s">
        <v>159</v>
      </c>
      <c r="C39" t="s">
        <v>160</v>
      </c>
      <c r="D39" t="s">
        <v>57</v>
      </c>
      <c r="E39" t="s">
        <v>22</v>
      </c>
      <c r="F39" t="s">
        <v>35</v>
      </c>
      <c r="G39" s="13">
        <v>45664</v>
      </c>
      <c r="H39">
        <v>163</v>
      </c>
      <c r="I39">
        <v>0</v>
      </c>
      <c r="J39" t="s">
        <v>36</v>
      </c>
      <c r="K39" t="s">
        <v>25</v>
      </c>
      <c r="L39" t="s">
        <v>37</v>
      </c>
      <c r="M39">
        <v>50</v>
      </c>
      <c r="N39" t="s">
        <v>30</v>
      </c>
      <c r="O39" t="s">
        <v>154</v>
      </c>
      <c r="P39" t="s">
        <v>29</v>
      </c>
      <c r="Q39" t="s">
        <v>27</v>
      </c>
      <c r="R39">
        <v>1</v>
      </c>
    </row>
    <row r="40" spans="1:18">
      <c r="A40" t="s">
        <v>809</v>
      </c>
      <c r="B40" t="s">
        <v>810</v>
      </c>
      <c r="C40" t="s">
        <v>811</v>
      </c>
      <c r="D40" t="s">
        <v>62</v>
      </c>
      <c r="E40" t="s">
        <v>22</v>
      </c>
      <c r="F40" t="s">
        <v>80</v>
      </c>
      <c r="G40" s="13">
        <v>45779</v>
      </c>
      <c r="H40">
        <v>175</v>
      </c>
      <c r="I40">
        <v>27.19</v>
      </c>
      <c r="J40" t="s">
        <v>129</v>
      </c>
      <c r="K40" t="s">
        <v>25</v>
      </c>
      <c r="L40" t="s">
        <v>26</v>
      </c>
      <c r="M40">
        <v>1</v>
      </c>
      <c r="N40" t="s">
        <v>30</v>
      </c>
      <c r="O40" t="s">
        <v>754</v>
      </c>
      <c r="P40" t="s">
        <v>29</v>
      </c>
      <c r="Q40" t="s">
        <v>30</v>
      </c>
      <c r="R40">
        <v>1</v>
      </c>
    </row>
    <row r="41" spans="1:18">
      <c r="A41" t="s">
        <v>164</v>
      </c>
      <c r="B41" t="s">
        <v>165</v>
      </c>
      <c r="C41" t="s">
        <v>166</v>
      </c>
      <c r="D41" t="s">
        <v>49</v>
      </c>
      <c r="E41" t="s">
        <v>42</v>
      </c>
      <c r="F41" t="s">
        <v>43</v>
      </c>
      <c r="G41" s="13">
        <v>45685</v>
      </c>
      <c r="H41">
        <v>173</v>
      </c>
      <c r="I41">
        <v>0</v>
      </c>
      <c r="J41" t="s">
        <v>36</v>
      </c>
      <c r="K41" t="s">
        <v>66</v>
      </c>
      <c r="L41" t="s">
        <v>37</v>
      </c>
      <c r="M41">
        <v>30</v>
      </c>
      <c r="N41" t="s">
        <v>30</v>
      </c>
      <c r="O41" t="s">
        <v>154</v>
      </c>
      <c r="P41" t="s">
        <v>29</v>
      </c>
      <c r="Q41" t="s">
        <v>27</v>
      </c>
      <c r="R41">
        <v>1</v>
      </c>
    </row>
    <row r="42" spans="1:18">
      <c r="A42" t="s">
        <v>800</v>
      </c>
      <c r="B42" t="s">
        <v>801</v>
      </c>
      <c r="C42" t="s">
        <v>802</v>
      </c>
      <c r="D42" t="s">
        <v>62</v>
      </c>
      <c r="E42" t="s">
        <v>42</v>
      </c>
      <c r="F42" t="s">
        <v>58</v>
      </c>
      <c r="G42" s="13">
        <v>45804</v>
      </c>
      <c r="H42">
        <v>156</v>
      </c>
      <c r="I42">
        <v>0</v>
      </c>
      <c r="J42" t="s">
        <v>36</v>
      </c>
      <c r="K42" t="s">
        <v>25</v>
      </c>
      <c r="L42" t="s">
        <v>26</v>
      </c>
      <c r="M42">
        <v>50</v>
      </c>
      <c r="N42" t="s">
        <v>30</v>
      </c>
      <c r="O42" t="s">
        <v>754</v>
      </c>
      <c r="P42" t="s">
        <v>29</v>
      </c>
      <c r="Q42" t="s">
        <v>27</v>
      </c>
      <c r="R42">
        <v>1</v>
      </c>
    </row>
    <row r="43" spans="1:18">
      <c r="A43" t="s">
        <v>791</v>
      </c>
      <c r="B43" t="s">
        <v>792</v>
      </c>
      <c r="C43" t="s">
        <v>793</v>
      </c>
      <c r="D43" t="s">
        <v>49</v>
      </c>
      <c r="E43" t="s">
        <v>22</v>
      </c>
      <c r="F43" t="s">
        <v>73</v>
      </c>
      <c r="G43" s="13">
        <v>45799</v>
      </c>
      <c r="H43">
        <v>164</v>
      </c>
      <c r="I43">
        <v>0</v>
      </c>
      <c r="J43" t="s">
        <v>36</v>
      </c>
      <c r="K43" t="s">
        <v>53</v>
      </c>
      <c r="L43" t="s">
        <v>37</v>
      </c>
      <c r="M43">
        <v>40</v>
      </c>
      <c r="N43" t="s">
        <v>30</v>
      </c>
      <c r="O43" t="s">
        <v>754</v>
      </c>
      <c r="P43" t="s">
        <v>29</v>
      </c>
      <c r="Q43" t="s">
        <v>27</v>
      </c>
      <c r="R43">
        <v>1</v>
      </c>
    </row>
    <row r="44" spans="1:18">
      <c r="A44" t="s">
        <v>776</v>
      </c>
      <c r="B44" t="s">
        <v>777</v>
      </c>
      <c r="C44" t="s">
        <v>778</v>
      </c>
      <c r="D44" t="s">
        <v>21</v>
      </c>
      <c r="E44" t="s">
        <v>22</v>
      </c>
      <c r="F44" t="s">
        <v>43</v>
      </c>
      <c r="G44" s="13">
        <v>45804</v>
      </c>
      <c r="H44">
        <v>167</v>
      </c>
      <c r="I44">
        <v>0</v>
      </c>
      <c r="J44" t="s">
        <v>36</v>
      </c>
      <c r="K44" t="s">
        <v>25</v>
      </c>
      <c r="L44" t="s">
        <v>37</v>
      </c>
      <c r="M44">
        <v>28</v>
      </c>
      <c r="N44" t="s">
        <v>30</v>
      </c>
      <c r="O44" t="s">
        <v>754</v>
      </c>
      <c r="P44" t="s">
        <v>29</v>
      </c>
      <c r="Q44" t="s">
        <v>27</v>
      </c>
      <c r="R44">
        <v>1</v>
      </c>
    </row>
    <row r="45" spans="1:18">
      <c r="A45" t="s">
        <v>773</v>
      </c>
      <c r="B45" t="s">
        <v>774</v>
      </c>
      <c r="C45" t="s">
        <v>775</v>
      </c>
      <c r="D45" t="s">
        <v>49</v>
      </c>
      <c r="E45" t="s">
        <v>22</v>
      </c>
      <c r="F45" t="s">
        <v>43</v>
      </c>
      <c r="G45" s="13">
        <v>45779</v>
      </c>
      <c r="H45">
        <v>173</v>
      </c>
      <c r="I45">
        <v>0</v>
      </c>
      <c r="J45" t="s">
        <v>36</v>
      </c>
      <c r="K45" t="s">
        <v>25</v>
      </c>
      <c r="L45" t="s">
        <v>37</v>
      </c>
      <c r="M45">
        <v>8</v>
      </c>
      <c r="N45" t="s">
        <v>30</v>
      </c>
      <c r="O45" t="s">
        <v>754</v>
      </c>
      <c r="P45" t="s">
        <v>29</v>
      </c>
      <c r="Q45" t="s">
        <v>27</v>
      </c>
      <c r="R45">
        <v>1</v>
      </c>
    </row>
    <row r="46" spans="1:18">
      <c r="A46" t="s">
        <v>180</v>
      </c>
      <c r="B46" t="s">
        <v>181</v>
      </c>
      <c r="C46" t="s">
        <v>182</v>
      </c>
      <c r="D46" t="s">
        <v>41</v>
      </c>
      <c r="E46" t="s">
        <v>22</v>
      </c>
      <c r="F46" t="s">
        <v>35</v>
      </c>
      <c r="G46" s="13">
        <v>45665</v>
      </c>
      <c r="H46">
        <v>166</v>
      </c>
      <c r="I46">
        <v>23.59</v>
      </c>
      <c r="J46" t="s">
        <v>44</v>
      </c>
      <c r="K46" t="s">
        <v>25</v>
      </c>
      <c r="L46" t="s">
        <v>26</v>
      </c>
      <c r="M46">
        <v>19</v>
      </c>
      <c r="N46" t="s">
        <v>30</v>
      </c>
      <c r="O46" t="s">
        <v>154</v>
      </c>
      <c r="P46" t="s">
        <v>29</v>
      </c>
      <c r="Q46" t="s">
        <v>30</v>
      </c>
      <c r="R46">
        <v>1</v>
      </c>
    </row>
    <row r="47" spans="1:18">
      <c r="A47" t="s">
        <v>767</v>
      </c>
      <c r="B47" t="s">
        <v>768</v>
      </c>
      <c r="C47" t="s">
        <v>769</v>
      </c>
      <c r="D47" t="s">
        <v>57</v>
      </c>
      <c r="E47" t="s">
        <v>34</v>
      </c>
      <c r="F47" t="s">
        <v>43</v>
      </c>
      <c r="G47" s="13">
        <v>45808</v>
      </c>
      <c r="H47">
        <v>168</v>
      </c>
      <c r="I47">
        <v>0</v>
      </c>
      <c r="J47" t="s">
        <v>36</v>
      </c>
      <c r="K47" t="s">
        <v>25</v>
      </c>
      <c r="L47" t="s">
        <v>37</v>
      </c>
      <c r="M47">
        <v>33</v>
      </c>
      <c r="N47" t="s">
        <v>30</v>
      </c>
      <c r="O47" t="s">
        <v>754</v>
      </c>
      <c r="P47" t="s">
        <v>29</v>
      </c>
      <c r="Q47" t="s">
        <v>27</v>
      </c>
      <c r="R47">
        <v>1</v>
      </c>
    </row>
    <row r="48" spans="1:18">
      <c r="A48" t="s">
        <v>758</v>
      </c>
      <c r="B48" t="s">
        <v>759</v>
      </c>
      <c r="C48" t="s">
        <v>760</v>
      </c>
      <c r="D48" t="s">
        <v>41</v>
      </c>
      <c r="E48" t="s">
        <v>34</v>
      </c>
      <c r="F48" t="s">
        <v>80</v>
      </c>
      <c r="G48" s="13">
        <v>45797</v>
      </c>
      <c r="H48">
        <v>179</v>
      </c>
      <c r="I48">
        <v>0</v>
      </c>
      <c r="J48" t="s">
        <v>36</v>
      </c>
      <c r="K48" t="s">
        <v>25</v>
      </c>
      <c r="L48" t="s">
        <v>37</v>
      </c>
      <c r="M48">
        <v>10</v>
      </c>
      <c r="N48" t="s">
        <v>30</v>
      </c>
      <c r="O48" t="s">
        <v>754</v>
      </c>
      <c r="P48" t="s">
        <v>29</v>
      </c>
      <c r="Q48" t="s">
        <v>27</v>
      </c>
      <c r="R48">
        <v>1</v>
      </c>
    </row>
    <row r="49" spans="1:18">
      <c r="A49" t="s">
        <v>189</v>
      </c>
      <c r="B49" t="s">
        <v>190</v>
      </c>
      <c r="C49" t="s">
        <v>191</v>
      </c>
      <c r="D49" t="s">
        <v>49</v>
      </c>
      <c r="E49" t="s">
        <v>42</v>
      </c>
      <c r="F49" t="s">
        <v>35</v>
      </c>
      <c r="G49" s="13">
        <v>45674</v>
      </c>
      <c r="H49">
        <v>165</v>
      </c>
      <c r="I49">
        <v>0</v>
      </c>
      <c r="J49" t="s">
        <v>36</v>
      </c>
      <c r="K49" t="s">
        <v>25</v>
      </c>
      <c r="L49" t="s">
        <v>37</v>
      </c>
      <c r="M49">
        <v>15</v>
      </c>
      <c r="N49" t="s">
        <v>30</v>
      </c>
      <c r="O49" t="s">
        <v>154</v>
      </c>
      <c r="P49" t="s">
        <v>29</v>
      </c>
      <c r="Q49" t="s">
        <v>27</v>
      </c>
      <c r="R49">
        <v>1</v>
      </c>
    </row>
    <row r="50" spans="1:18">
      <c r="A50" t="s">
        <v>730</v>
      </c>
      <c r="B50" t="s">
        <v>731</v>
      </c>
      <c r="C50" t="s">
        <v>732</v>
      </c>
      <c r="D50" t="s">
        <v>57</v>
      </c>
      <c r="E50" t="s">
        <v>34</v>
      </c>
      <c r="F50" t="s">
        <v>73</v>
      </c>
      <c r="G50" s="13">
        <v>45762</v>
      </c>
      <c r="H50">
        <v>175</v>
      </c>
      <c r="I50">
        <v>0</v>
      </c>
      <c r="J50" t="s">
        <v>36</v>
      </c>
      <c r="K50" t="s">
        <v>25</v>
      </c>
      <c r="L50" t="s">
        <v>37</v>
      </c>
      <c r="M50">
        <v>1</v>
      </c>
      <c r="N50" t="s">
        <v>30</v>
      </c>
      <c r="O50" t="s">
        <v>614</v>
      </c>
      <c r="P50" t="s">
        <v>29</v>
      </c>
      <c r="Q50" t="s">
        <v>27</v>
      </c>
      <c r="R50">
        <v>1</v>
      </c>
    </row>
    <row r="51" spans="1:18">
      <c r="A51" t="s">
        <v>724</v>
      </c>
      <c r="B51" t="s">
        <v>725</v>
      </c>
      <c r="C51" t="s">
        <v>726</v>
      </c>
      <c r="D51" t="s">
        <v>21</v>
      </c>
      <c r="E51" t="s">
        <v>42</v>
      </c>
      <c r="F51" t="s">
        <v>58</v>
      </c>
      <c r="G51" s="13">
        <v>45758</v>
      </c>
      <c r="H51">
        <v>166</v>
      </c>
      <c r="I51">
        <v>47.72</v>
      </c>
      <c r="J51" t="s">
        <v>129</v>
      </c>
      <c r="K51" t="s">
        <v>25</v>
      </c>
      <c r="L51" t="s">
        <v>26</v>
      </c>
      <c r="M51">
        <v>40</v>
      </c>
      <c r="N51" t="s">
        <v>30</v>
      </c>
      <c r="O51" t="s">
        <v>614</v>
      </c>
      <c r="P51" t="s">
        <v>29</v>
      </c>
      <c r="Q51" t="s">
        <v>30</v>
      </c>
      <c r="R51">
        <v>1</v>
      </c>
    </row>
    <row r="52" spans="1:18">
      <c r="A52" t="s">
        <v>712</v>
      </c>
      <c r="B52" t="s">
        <v>713</v>
      </c>
      <c r="C52" t="s">
        <v>714</v>
      </c>
      <c r="D52" t="s">
        <v>49</v>
      </c>
      <c r="E52" t="s">
        <v>42</v>
      </c>
      <c r="F52" t="s">
        <v>43</v>
      </c>
      <c r="G52" s="13">
        <v>45749</v>
      </c>
      <c r="H52">
        <v>175</v>
      </c>
      <c r="I52">
        <v>7.47</v>
      </c>
      <c r="J52" t="s">
        <v>129</v>
      </c>
      <c r="K52" t="s">
        <v>25</v>
      </c>
      <c r="L52" t="s">
        <v>26</v>
      </c>
      <c r="M52">
        <v>17</v>
      </c>
      <c r="N52" t="s">
        <v>30</v>
      </c>
      <c r="O52" t="s">
        <v>614</v>
      </c>
      <c r="P52" t="s">
        <v>29</v>
      </c>
      <c r="Q52" t="s">
        <v>30</v>
      </c>
      <c r="R52">
        <v>1</v>
      </c>
    </row>
    <row r="53" spans="1:18">
      <c r="A53" t="s">
        <v>706</v>
      </c>
      <c r="B53" t="s">
        <v>707</v>
      </c>
      <c r="C53" t="s">
        <v>708</v>
      </c>
      <c r="D53" t="s">
        <v>57</v>
      </c>
      <c r="E53" t="s">
        <v>22</v>
      </c>
      <c r="F53" t="s">
        <v>80</v>
      </c>
      <c r="G53" s="13">
        <v>45772</v>
      </c>
      <c r="H53">
        <v>161</v>
      </c>
      <c r="I53">
        <v>0</v>
      </c>
      <c r="J53" t="s">
        <v>36</v>
      </c>
      <c r="K53" t="s">
        <v>25</v>
      </c>
      <c r="L53" t="s">
        <v>37</v>
      </c>
      <c r="M53">
        <v>25</v>
      </c>
      <c r="N53" t="s">
        <v>30</v>
      </c>
      <c r="O53" t="s">
        <v>614</v>
      </c>
      <c r="P53" t="s">
        <v>29</v>
      </c>
      <c r="Q53" t="s">
        <v>27</v>
      </c>
      <c r="R53">
        <v>1</v>
      </c>
    </row>
    <row r="54" spans="1:18">
      <c r="A54" t="s">
        <v>703</v>
      </c>
      <c r="B54" t="s">
        <v>704</v>
      </c>
      <c r="C54" t="s">
        <v>705</v>
      </c>
      <c r="D54" t="s">
        <v>57</v>
      </c>
      <c r="E54" t="s">
        <v>34</v>
      </c>
      <c r="F54" t="s">
        <v>73</v>
      </c>
      <c r="G54" s="13">
        <v>45764</v>
      </c>
      <c r="H54">
        <v>163</v>
      </c>
      <c r="I54">
        <v>0</v>
      </c>
      <c r="J54" t="s">
        <v>36</v>
      </c>
      <c r="K54" t="s">
        <v>25</v>
      </c>
      <c r="L54" t="s">
        <v>37</v>
      </c>
      <c r="M54">
        <v>46</v>
      </c>
      <c r="N54" t="s">
        <v>30</v>
      </c>
      <c r="O54" t="s">
        <v>614</v>
      </c>
      <c r="P54" t="s">
        <v>29</v>
      </c>
      <c r="Q54" t="s">
        <v>27</v>
      </c>
      <c r="R54">
        <v>1</v>
      </c>
    </row>
    <row r="55" spans="1:18">
      <c r="A55" t="s">
        <v>691</v>
      </c>
      <c r="B55" t="s">
        <v>692</v>
      </c>
      <c r="C55" t="s">
        <v>693</v>
      </c>
      <c r="D55" t="s">
        <v>57</v>
      </c>
      <c r="E55" t="s">
        <v>42</v>
      </c>
      <c r="F55" t="s">
        <v>80</v>
      </c>
      <c r="G55" s="13">
        <v>45765</v>
      </c>
      <c r="H55">
        <v>165</v>
      </c>
      <c r="I55">
        <v>21.99</v>
      </c>
      <c r="J55" t="s">
        <v>24</v>
      </c>
      <c r="K55" t="s">
        <v>66</v>
      </c>
      <c r="L55" t="s">
        <v>26</v>
      </c>
      <c r="M55">
        <v>45</v>
      </c>
      <c r="N55" t="s">
        <v>30</v>
      </c>
      <c r="O55" t="s">
        <v>614</v>
      </c>
      <c r="P55" t="s">
        <v>29</v>
      </c>
      <c r="Q55" t="s">
        <v>30</v>
      </c>
      <c r="R55">
        <v>1</v>
      </c>
    </row>
    <row r="56" spans="1:18">
      <c r="A56" t="s">
        <v>210</v>
      </c>
      <c r="B56" t="s">
        <v>211</v>
      </c>
      <c r="C56" t="s">
        <v>212</v>
      </c>
      <c r="D56" t="s">
        <v>21</v>
      </c>
      <c r="E56" t="s">
        <v>22</v>
      </c>
      <c r="F56" t="s">
        <v>35</v>
      </c>
      <c r="G56" s="13">
        <v>45677</v>
      </c>
      <c r="H56">
        <v>180</v>
      </c>
      <c r="I56">
        <v>0</v>
      </c>
      <c r="J56" t="s">
        <v>36</v>
      </c>
      <c r="K56" t="s">
        <v>25</v>
      </c>
      <c r="L56" t="s">
        <v>37</v>
      </c>
      <c r="M56">
        <v>28</v>
      </c>
      <c r="N56" t="s">
        <v>30</v>
      </c>
      <c r="O56" t="s">
        <v>154</v>
      </c>
      <c r="P56" t="s">
        <v>29</v>
      </c>
      <c r="Q56" t="s">
        <v>27</v>
      </c>
      <c r="R56">
        <v>1</v>
      </c>
    </row>
    <row r="57" spans="1:18">
      <c r="A57" t="s">
        <v>673</v>
      </c>
      <c r="B57" t="s">
        <v>674</v>
      </c>
      <c r="C57" t="s">
        <v>675</v>
      </c>
      <c r="D57" t="s">
        <v>57</v>
      </c>
      <c r="E57" t="s">
        <v>22</v>
      </c>
      <c r="F57" t="s">
        <v>73</v>
      </c>
      <c r="G57" s="13">
        <v>45763</v>
      </c>
      <c r="H57">
        <v>116</v>
      </c>
      <c r="I57">
        <v>47.47</v>
      </c>
      <c r="J57" t="s">
        <v>173</v>
      </c>
      <c r="K57" t="s">
        <v>25</v>
      </c>
      <c r="L57" t="s">
        <v>26</v>
      </c>
      <c r="M57">
        <v>1</v>
      </c>
      <c r="N57" t="s">
        <v>30</v>
      </c>
      <c r="O57" t="s">
        <v>614</v>
      </c>
      <c r="P57" t="s">
        <v>29</v>
      </c>
      <c r="Q57" t="s">
        <v>30</v>
      </c>
      <c r="R57">
        <v>1</v>
      </c>
    </row>
    <row r="58" spans="1:18">
      <c r="A58" t="s">
        <v>670</v>
      </c>
      <c r="B58" t="s">
        <v>671</v>
      </c>
      <c r="C58" t="s">
        <v>672</v>
      </c>
      <c r="D58" t="s">
        <v>57</v>
      </c>
      <c r="E58" t="s">
        <v>22</v>
      </c>
      <c r="F58" t="s">
        <v>23</v>
      </c>
      <c r="G58" s="13">
        <v>45755</v>
      </c>
      <c r="H58">
        <v>180</v>
      </c>
      <c r="I58">
        <v>0</v>
      </c>
      <c r="J58" t="s">
        <v>36</v>
      </c>
      <c r="K58" t="s">
        <v>25</v>
      </c>
      <c r="L58" t="s">
        <v>37</v>
      </c>
      <c r="M58">
        <v>8</v>
      </c>
      <c r="N58" t="s">
        <v>30</v>
      </c>
      <c r="O58" t="s">
        <v>614</v>
      </c>
      <c r="P58" t="s">
        <v>29</v>
      </c>
      <c r="Q58" t="s">
        <v>27</v>
      </c>
      <c r="R58">
        <v>1</v>
      </c>
    </row>
    <row r="59" spans="1:18">
      <c r="A59" t="s">
        <v>630</v>
      </c>
      <c r="B59" t="s">
        <v>631</v>
      </c>
      <c r="C59" t="s">
        <v>632</v>
      </c>
      <c r="D59" t="s">
        <v>49</v>
      </c>
      <c r="E59" t="s">
        <v>34</v>
      </c>
      <c r="F59" t="s">
        <v>23</v>
      </c>
      <c r="G59" s="13">
        <v>45767</v>
      </c>
      <c r="H59">
        <v>153</v>
      </c>
      <c r="I59">
        <v>0</v>
      </c>
      <c r="J59" t="s">
        <v>36</v>
      </c>
      <c r="K59" t="s">
        <v>25</v>
      </c>
      <c r="L59" t="s">
        <v>37</v>
      </c>
      <c r="M59">
        <v>2</v>
      </c>
      <c r="N59" t="s">
        <v>30</v>
      </c>
      <c r="O59" t="s">
        <v>614</v>
      </c>
      <c r="P59" t="s">
        <v>29</v>
      </c>
      <c r="Q59" t="s">
        <v>27</v>
      </c>
      <c r="R59">
        <v>1</v>
      </c>
    </row>
    <row r="60" spans="1:18">
      <c r="A60" t="s">
        <v>611</v>
      </c>
      <c r="B60" t="s">
        <v>612</v>
      </c>
      <c r="C60" t="s">
        <v>613</v>
      </c>
      <c r="D60" t="s">
        <v>41</v>
      </c>
      <c r="E60" t="s">
        <v>42</v>
      </c>
      <c r="F60" t="s">
        <v>43</v>
      </c>
      <c r="G60" s="13">
        <v>45759</v>
      </c>
      <c r="H60">
        <v>134</v>
      </c>
      <c r="I60">
        <v>42.57</v>
      </c>
      <c r="J60" t="s">
        <v>44</v>
      </c>
      <c r="K60" t="s">
        <v>66</v>
      </c>
      <c r="L60" t="s">
        <v>26</v>
      </c>
      <c r="M60">
        <v>40</v>
      </c>
      <c r="N60" t="s">
        <v>30</v>
      </c>
      <c r="O60" t="s">
        <v>614</v>
      </c>
      <c r="P60" t="s">
        <v>29</v>
      </c>
      <c r="Q60" t="s">
        <v>30</v>
      </c>
      <c r="R60">
        <v>1</v>
      </c>
    </row>
    <row r="61" spans="1:18">
      <c r="A61" t="s">
        <v>225</v>
      </c>
      <c r="B61" t="s">
        <v>226</v>
      </c>
      <c r="C61" t="s">
        <v>227</v>
      </c>
      <c r="D61" t="s">
        <v>57</v>
      </c>
      <c r="E61" t="s">
        <v>42</v>
      </c>
      <c r="F61" t="s">
        <v>73</v>
      </c>
      <c r="G61" s="13">
        <v>45661</v>
      </c>
      <c r="H61">
        <v>153</v>
      </c>
      <c r="I61">
        <v>0</v>
      </c>
      <c r="J61" t="s">
        <v>36</v>
      </c>
      <c r="K61" t="s">
        <v>66</v>
      </c>
      <c r="L61" t="s">
        <v>37</v>
      </c>
      <c r="M61">
        <v>15</v>
      </c>
      <c r="N61" t="s">
        <v>30</v>
      </c>
      <c r="O61" t="s">
        <v>154</v>
      </c>
      <c r="P61" t="s">
        <v>29</v>
      </c>
      <c r="Q61" t="s">
        <v>27</v>
      </c>
      <c r="R61">
        <v>1</v>
      </c>
    </row>
    <row r="62" spans="1:18">
      <c r="A62" t="s">
        <v>602</v>
      </c>
      <c r="B62" t="s">
        <v>603</v>
      </c>
      <c r="C62" t="s">
        <v>604</v>
      </c>
      <c r="D62" t="s">
        <v>41</v>
      </c>
      <c r="E62" t="s">
        <v>34</v>
      </c>
      <c r="F62" t="s">
        <v>73</v>
      </c>
      <c r="G62" s="13">
        <v>45747</v>
      </c>
      <c r="H62">
        <v>179</v>
      </c>
      <c r="I62">
        <v>0</v>
      </c>
      <c r="J62" t="s">
        <v>36</v>
      </c>
      <c r="K62" t="s">
        <v>25</v>
      </c>
      <c r="L62" t="s">
        <v>37</v>
      </c>
      <c r="M62">
        <v>5</v>
      </c>
      <c r="N62" t="s">
        <v>30</v>
      </c>
      <c r="O62" t="s">
        <v>478</v>
      </c>
      <c r="P62" t="s">
        <v>29</v>
      </c>
      <c r="Q62" t="s">
        <v>27</v>
      </c>
      <c r="R62">
        <v>1</v>
      </c>
    </row>
    <row r="63" spans="1:18">
      <c r="A63" t="s">
        <v>231</v>
      </c>
      <c r="B63" t="s">
        <v>232</v>
      </c>
      <c r="C63" t="s">
        <v>233</v>
      </c>
      <c r="D63" t="s">
        <v>62</v>
      </c>
      <c r="E63" t="s">
        <v>34</v>
      </c>
      <c r="F63" t="s">
        <v>35</v>
      </c>
      <c r="G63" s="13">
        <v>45658</v>
      </c>
      <c r="H63">
        <v>175</v>
      </c>
      <c r="I63">
        <v>0</v>
      </c>
      <c r="J63" t="s">
        <v>36</v>
      </c>
      <c r="K63" t="s">
        <v>25</v>
      </c>
      <c r="L63" t="s">
        <v>37</v>
      </c>
      <c r="M63">
        <v>49</v>
      </c>
      <c r="N63" t="s">
        <v>30</v>
      </c>
      <c r="O63" t="s">
        <v>154</v>
      </c>
      <c r="P63" t="s">
        <v>29</v>
      </c>
      <c r="Q63" t="s">
        <v>27</v>
      </c>
      <c r="R63">
        <v>1</v>
      </c>
    </row>
    <row r="64" spans="1:18">
      <c r="A64" t="s">
        <v>599</v>
      </c>
      <c r="B64" t="s">
        <v>600</v>
      </c>
      <c r="C64" t="s">
        <v>601</v>
      </c>
      <c r="D64" t="s">
        <v>62</v>
      </c>
      <c r="E64" t="s">
        <v>42</v>
      </c>
      <c r="F64" t="s">
        <v>80</v>
      </c>
      <c r="G64" s="13">
        <v>45727</v>
      </c>
      <c r="H64">
        <v>158</v>
      </c>
      <c r="I64">
        <v>0</v>
      </c>
      <c r="J64" t="s">
        <v>36</v>
      </c>
      <c r="K64" t="s">
        <v>45</v>
      </c>
      <c r="L64" t="s">
        <v>37</v>
      </c>
      <c r="M64">
        <v>22</v>
      </c>
      <c r="N64" t="s">
        <v>30</v>
      </c>
      <c r="O64" t="s">
        <v>478</v>
      </c>
      <c r="P64" t="s">
        <v>29</v>
      </c>
      <c r="Q64" t="s">
        <v>27</v>
      </c>
      <c r="R64">
        <v>1</v>
      </c>
    </row>
    <row r="65" spans="1:18">
      <c r="A65" t="s">
        <v>596</v>
      </c>
      <c r="B65" t="s">
        <v>597</v>
      </c>
      <c r="C65" t="s">
        <v>598</v>
      </c>
      <c r="D65" t="s">
        <v>62</v>
      </c>
      <c r="E65" t="s">
        <v>42</v>
      </c>
      <c r="F65" t="s">
        <v>35</v>
      </c>
      <c r="G65" s="13">
        <v>45734</v>
      </c>
      <c r="H65">
        <v>180</v>
      </c>
      <c r="I65">
        <v>0</v>
      </c>
      <c r="J65" t="s">
        <v>36</v>
      </c>
      <c r="K65" t="s">
        <v>25</v>
      </c>
      <c r="L65" t="s">
        <v>37</v>
      </c>
      <c r="M65">
        <v>18</v>
      </c>
      <c r="N65" t="s">
        <v>30</v>
      </c>
      <c r="O65" t="s">
        <v>478</v>
      </c>
      <c r="P65" t="s">
        <v>29</v>
      </c>
      <c r="Q65" t="s">
        <v>27</v>
      </c>
      <c r="R65">
        <v>1</v>
      </c>
    </row>
    <row r="66" spans="1:18">
      <c r="A66" t="s">
        <v>590</v>
      </c>
      <c r="B66" t="s">
        <v>591</v>
      </c>
      <c r="C66" t="s">
        <v>592</v>
      </c>
      <c r="D66" t="s">
        <v>49</v>
      </c>
      <c r="E66" t="s">
        <v>34</v>
      </c>
      <c r="F66" t="s">
        <v>35</v>
      </c>
      <c r="G66" s="13">
        <v>45732</v>
      </c>
      <c r="H66">
        <v>161</v>
      </c>
      <c r="I66">
        <v>45.73</v>
      </c>
      <c r="J66" t="s">
        <v>24</v>
      </c>
      <c r="K66" t="s">
        <v>25</v>
      </c>
      <c r="L66" t="s">
        <v>26</v>
      </c>
      <c r="M66">
        <v>4</v>
      </c>
      <c r="N66" t="s">
        <v>30</v>
      </c>
      <c r="O66" t="s">
        <v>478</v>
      </c>
      <c r="P66" t="s">
        <v>29</v>
      </c>
      <c r="Q66" t="s">
        <v>30</v>
      </c>
      <c r="R66">
        <v>1</v>
      </c>
    </row>
    <row r="67" spans="1:18">
      <c r="A67" t="s">
        <v>243</v>
      </c>
      <c r="B67" t="s">
        <v>244</v>
      </c>
      <c r="C67" t="s">
        <v>245</v>
      </c>
      <c r="D67" t="s">
        <v>49</v>
      </c>
      <c r="E67" t="s">
        <v>22</v>
      </c>
      <c r="F67" t="s">
        <v>35</v>
      </c>
      <c r="G67" s="13">
        <v>45684</v>
      </c>
      <c r="H67">
        <v>156</v>
      </c>
      <c r="I67">
        <v>0</v>
      </c>
      <c r="J67" t="s">
        <v>36</v>
      </c>
      <c r="K67" t="s">
        <v>25</v>
      </c>
      <c r="L67" t="s">
        <v>37</v>
      </c>
      <c r="M67">
        <v>6</v>
      </c>
      <c r="N67" t="s">
        <v>30</v>
      </c>
      <c r="O67" t="s">
        <v>154</v>
      </c>
      <c r="P67" t="s">
        <v>29</v>
      </c>
      <c r="Q67" t="s">
        <v>27</v>
      </c>
      <c r="R67">
        <v>1</v>
      </c>
    </row>
    <row r="68" spans="1:18">
      <c r="A68" t="s">
        <v>246</v>
      </c>
      <c r="B68" t="s">
        <v>247</v>
      </c>
      <c r="C68" t="s">
        <v>248</v>
      </c>
      <c r="D68" t="s">
        <v>49</v>
      </c>
      <c r="E68" t="s">
        <v>34</v>
      </c>
      <c r="F68" t="s">
        <v>58</v>
      </c>
      <c r="G68" s="13">
        <v>45666</v>
      </c>
      <c r="H68">
        <v>169</v>
      </c>
      <c r="I68">
        <v>0</v>
      </c>
      <c r="J68" t="s">
        <v>36</v>
      </c>
      <c r="K68" t="s">
        <v>25</v>
      </c>
      <c r="L68" t="s">
        <v>37</v>
      </c>
      <c r="M68">
        <v>30</v>
      </c>
      <c r="N68" t="s">
        <v>30</v>
      </c>
      <c r="O68" t="s">
        <v>154</v>
      </c>
      <c r="P68" t="s">
        <v>29</v>
      </c>
      <c r="Q68" t="s">
        <v>27</v>
      </c>
      <c r="R68">
        <v>1</v>
      </c>
    </row>
    <row r="69" spans="1:18">
      <c r="A69" t="s">
        <v>587</v>
      </c>
      <c r="B69" t="s">
        <v>588</v>
      </c>
      <c r="C69" t="s">
        <v>589</v>
      </c>
      <c r="D69" t="s">
        <v>49</v>
      </c>
      <c r="E69" t="s">
        <v>34</v>
      </c>
      <c r="F69" t="s">
        <v>80</v>
      </c>
      <c r="G69" s="13">
        <v>45719</v>
      </c>
      <c r="H69">
        <v>178</v>
      </c>
      <c r="I69">
        <v>0</v>
      </c>
      <c r="J69" t="s">
        <v>36</v>
      </c>
      <c r="K69" t="s">
        <v>25</v>
      </c>
      <c r="L69" t="s">
        <v>37</v>
      </c>
      <c r="M69">
        <v>30</v>
      </c>
      <c r="N69" t="s">
        <v>30</v>
      </c>
      <c r="O69" t="s">
        <v>478</v>
      </c>
      <c r="P69" t="s">
        <v>29</v>
      </c>
      <c r="Q69" t="s">
        <v>27</v>
      </c>
      <c r="R69">
        <v>1</v>
      </c>
    </row>
    <row r="70" spans="1:18">
      <c r="A70" t="s">
        <v>581</v>
      </c>
      <c r="B70" t="s">
        <v>582</v>
      </c>
      <c r="C70" t="s">
        <v>583</v>
      </c>
      <c r="D70" t="s">
        <v>62</v>
      </c>
      <c r="E70" t="s">
        <v>22</v>
      </c>
      <c r="F70" t="s">
        <v>23</v>
      </c>
      <c r="G70" s="13">
        <v>45727</v>
      </c>
      <c r="H70">
        <v>160</v>
      </c>
      <c r="I70">
        <v>0</v>
      </c>
      <c r="J70" t="s">
        <v>36</v>
      </c>
      <c r="K70" t="s">
        <v>25</v>
      </c>
      <c r="L70" t="s">
        <v>37</v>
      </c>
      <c r="M70">
        <v>1</v>
      </c>
      <c r="N70" t="s">
        <v>30</v>
      </c>
      <c r="O70" t="s">
        <v>478</v>
      </c>
      <c r="P70" t="s">
        <v>29</v>
      </c>
      <c r="Q70" t="s">
        <v>27</v>
      </c>
      <c r="R70">
        <v>1</v>
      </c>
    </row>
    <row r="71" spans="1:18">
      <c r="A71" t="s">
        <v>578</v>
      </c>
      <c r="B71" t="s">
        <v>579</v>
      </c>
      <c r="C71" t="s">
        <v>580</v>
      </c>
      <c r="D71" t="s">
        <v>21</v>
      </c>
      <c r="E71" t="s">
        <v>42</v>
      </c>
      <c r="F71" t="s">
        <v>58</v>
      </c>
      <c r="G71" s="13">
        <v>45744</v>
      </c>
      <c r="H71">
        <v>175</v>
      </c>
      <c r="I71">
        <v>0</v>
      </c>
      <c r="J71" t="s">
        <v>36</v>
      </c>
      <c r="K71" t="s">
        <v>45</v>
      </c>
      <c r="L71" t="s">
        <v>37</v>
      </c>
      <c r="M71">
        <v>33</v>
      </c>
      <c r="N71" t="s">
        <v>30</v>
      </c>
      <c r="O71" t="s">
        <v>478</v>
      </c>
      <c r="P71" t="s">
        <v>29</v>
      </c>
      <c r="Q71" t="s">
        <v>27</v>
      </c>
      <c r="R71">
        <v>1</v>
      </c>
    </row>
    <row r="72" spans="1:18">
      <c r="A72" t="s">
        <v>258</v>
      </c>
      <c r="B72" t="s">
        <v>259</v>
      </c>
      <c r="C72" t="s">
        <v>260</v>
      </c>
      <c r="D72" t="s">
        <v>41</v>
      </c>
      <c r="E72" t="s">
        <v>42</v>
      </c>
      <c r="F72" t="s">
        <v>35</v>
      </c>
      <c r="G72" s="13">
        <v>45673</v>
      </c>
      <c r="H72">
        <v>166</v>
      </c>
      <c r="I72">
        <v>0</v>
      </c>
      <c r="J72" t="s">
        <v>36</v>
      </c>
      <c r="K72" t="s">
        <v>53</v>
      </c>
      <c r="L72" t="s">
        <v>37</v>
      </c>
      <c r="M72">
        <v>5</v>
      </c>
      <c r="N72" t="s">
        <v>30</v>
      </c>
      <c r="O72" t="s">
        <v>154</v>
      </c>
      <c r="P72" t="s">
        <v>29</v>
      </c>
      <c r="Q72" t="s">
        <v>27</v>
      </c>
      <c r="R72">
        <v>1</v>
      </c>
    </row>
    <row r="73" spans="1:18">
      <c r="A73" t="s">
        <v>569</v>
      </c>
      <c r="B73" t="s">
        <v>570</v>
      </c>
      <c r="C73" t="s">
        <v>571</v>
      </c>
      <c r="D73" t="s">
        <v>62</v>
      </c>
      <c r="E73" t="s">
        <v>34</v>
      </c>
      <c r="F73" t="s">
        <v>58</v>
      </c>
      <c r="G73" s="13">
        <v>45721</v>
      </c>
      <c r="H73">
        <v>91</v>
      </c>
      <c r="I73">
        <v>45.51</v>
      </c>
      <c r="J73" t="s">
        <v>129</v>
      </c>
      <c r="K73" t="s">
        <v>25</v>
      </c>
      <c r="L73" t="s">
        <v>26</v>
      </c>
      <c r="M73">
        <v>8</v>
      </c>
      <c r="N73" t="s">
        <v>30</v>
      </c>
      <c r="O73" t="s">
        <v>478</v>
      </c>
      <c r="P73" t="s">
        <v>29</v>
      </c>
      <c r="Q73" t="s">
        <v>30</v>
      </c>
      <c r="R73">
        <v>1</v>
      </c>
    </row>
    <row r="74" spans="1:18">
      <c r="A74" t="s">
        <v>557</v>
      </c>
      <c r="B74" t="s">
        <v>558</v>
      </c>
      <c r="C74" t="s">
        <v>559</v>
      </c>
      <c r="D74" t="s">
        <v>49</v>
      </c>
      <c r="E74" t="s">
        <v>42</v>
      </c>
      <c r="F74" t="s">
        <v>23</v>
      </c>
      <c r="G74" s="13">
        <v>45720</v>
      </c>
      <c r="H74">
        <v>154</v>
      </c>
      <c r="I74">
        <v>0</v>
      </c>
      <c r="J74" t="s">
        <v>36</v>
      </c>
      <c r="K74" t="s">
        <v>25</v>
      </c>
      <c r="L74" t="s">
        <v>37</v>
      </c>
      <c r="M74">
        <v>26</v>
      </c>
      <c r="N74" t="s">
        <v>30</v>
      </c>
      <c r="O74" t="s">
        <v>478</v>
      </c>
      <c r="P74" t="s">
        <v>29</v>
      </c>
      <c r="Q74" t="s">
        <v>27</v>
      </c>
      <c r="R74">
        <v>1</v>
      </c>
    </row>
    <row r="75" spans="1:18">
      <c r="A75" t="s">
        <v>267</v>
      </c>
      <c r="B75" t="s">
        <v>268</v>
      </c>
      <c r="C75" t="s">
        <v>269</v>
      </c>
      <c r="D75" t="s">
        <v>21</v>
      </c>
      <c r="E75" t="s">
        <v>42</v>
      </c>
      <c r="F75" t="s">
        <v>43</v>
      </c>
      <c r="G75" s="13">
        <v>45663</v>
      </c>
      <c r="H75">
        <v>157</v>
      </c>
      <c r="I75">
        <v>0</v>
      </c>
      <c r="J75" t="s">
        <v>36</v>
      </c>
      <c r="K75" t="s">
        <v>25</v>
      </c>
      <c r="L75" t="s">
        <v>37</v>
      </c>
      <c r="M75">
        <v>22</v>
      </c>
      <c r="N75" t="s">
        <v>30</v>
      </c>
      <c r="O75" t="s">
        <v>154</v>
      </c>
      <c r="P75" t="s">
        <v>29</v>
      </c>
      <c r="Q75" t="s">
        <v>27</v>
      </c>
      <c r="R75">
        <v>1</v>
      </c>
    </row>
    <row r="76" spans="1:18">
      <c r="A76" t="s">
        <v>551</v>
      </c>
      <c r="B76" t="s">
        <v>552</v>
      </c>
      <c r="C76" t="s">
        <v>553</v>
      </c>
      <c r="D76" t="s">
        <v>41</v>
      </c>
      <c r="E76" t="s">
        <v>22</v>
      </c>
      <c r="F76" t="s">
        <v>80</v>
      </c>
      <c r="G76" s="13">
        <v>45733</v>
      </c>
      <c r="H76">
        <v>167</v>
      </c>
      <c r="I76">
        <v>0</v>
      </c>
      <c r="J76" t="s">
        <v>36</v>
      </c>
      <c r="K76" t="s">
        <v>66</v>
      </c>
      <c r="L76" t="s">
        <v>26</v>
      </c>
      <c r="M76">
        <v>28</v>
      </c>
      <c r="N76" t="s">
        <v>30</v>
      </c>
      <c r="O76" t="s">
        <v>478</v>
      </c>
      <c r="P76" t="s">
        <v>29</v>
      </c>
      <c r="Q76" t="s">
        <v>27</v>
      </c>
      <c r="R76">
        <v>1</v>
      </c>
    </row>
    <row r="77" spans="1:18">
      <c r="A77" t="s">
        <v>537</v>
      </c>
      <c r="B77" t="s">
        <v>538</v>
      </c>
      <c r="C77" t="s">
        <v>539</v>
      </c>
      <c r="D77" t="s">
        <v>57</v>
      </c>
      <c r="E77" t="s">
        <v>22</v>
      </c>
      <c r="F77" t="s">
        <v>73</v>
      </c>
      <c r="G77" s="13">
        <v>45721</v>
      </c>
      <c r="H77">
        <v>118</v>
      </c>
      <c r="I77">
        <v>46.55</v>
      </c>
      <c r="J77" t="s">
        <v>44</v>
      </c>
      <c r="K77" t="s">
        <v>25</v>
      </c>
      <c r="L77" t="s">
        <v>26</v>
      </c>
      <c r="M77">
        <v>45</v>
      </c>
      <c r="N77" t="s">
        <v>30</v>
      </c>
      <c r="O77" t="s">
        <v>478</v>
      </c>
      <c r="P77" t="s">
        <v>29</v>
      </c>
      <c r="Q77" t="s">
        <v>30</v>
      </c>
      <c r="R77">
        <v>1</v>
      </c>
    </row>
    <row r="78" spans="1:18">
      <c r="A78" t="s">
        <v>532</v>
      </c>
      <c r="B78" t="s">
        <v>480</v>
      </c>
      <c r="C78" t="s">
        <v>533</v>
      </c>
      <c r="D78" t="s">
        <v>49</v>
      </c>
      <c r="E78" t="s">
        <v>42</v>
      </c>
      <c r="F78" t="s">
        <v>73</v>
      </c>
      <c r="G78" s="13">
        <v>45747</v>
      </c>
      <c r="H78">
        <v>153</v>
      </c>
      <c r="I78">
        <v>0</v>
      </c>
      <c r="J78" t="s">
        <v>36</v>
      </c>
      <c r="K78" t="s">
        <v>45</v>
      </c>
      <c r="L78" t="s">
        <v>37</v>
      </c>
      <c r="M78">
        <v>25</v>
      </c>
      <c r="N78" t="s">
        <v>30</v>
      </c>
      <c r="O78" t="s">
        <v>478</v>
      </c>
      <c r="P78" t="s">
        <v>29</v>
      </c>
      <c r="Q78" t="s">
        <v>27</v>
      </c>
      <c r="R78">
        <v>1</v>
      </c>
    </row>
    <row r="79" spans="1:18">
      <c r="A79" t="s">
        <v>529</v>
      </c>
      <c r="B79" t="s">
        <v>530</v>
      </c>
      <c r="C79" t="s">
        <v>531</v>
      </c>
      <c r="D79" t="s">
        <v>49</v>
      </c>
      <c r="E79" t="s">
        <v>42</v>
      </c>
      <c r="F79" t="s">
        <v>35</v>
      </c>
      <c r="G79" s="13">
        <v>45738</v>
      </c>
      <c r="H79">
        <v>173</v>
      </c>
      <c r="I79">
        <v>0</v>
      </c>
      <c r="J79" t="s">
        <v>36</v>
      </c>
      <c r="K79" t="s">
        <v>25</v>
      </c>
      <c r="L79" t="s">
        <v>37</v>
      </c>
      <c r="M79">
        <v>37</v>
      </c>
      <c r="N79" t="s">
        <v>30</v>
      </c>
      <c r="O79" t="s">
        <v>478</v>
      </c>
      <c r="P79" t="s">
        <v>29</v>
      </c>
      <c r="Q79" t="s">
        <v>27</v>
      </c>
      <c r="R79">
        <v>1</v>
      </c>
    </row>
    <row r="80" spans="1:18">
      <c r="A80" t="s">
        <v>509</v>
      </c>
      <c r="B80" t="s">
        <v>510</v>
      </c>
      <c r="C80" t="s">
        <v>511</v>
      </c>
      <c r="D80" t="s">
        <v>62</v>
      </c>
      <c r="E80" t="s">
        <v>22</v>
      </c>
      <c r="F80" t="s">
        <v>73</v>
      </c>
      <c r="G80" s="13">
        <v>45739</v>
      </c>
      <c r="H80">
        <v>153</v>
      </c>
      <c r="I80">
        <v>0</v>
      </c>
      <c r="J80" t="s">
        <v>36</v>
      </c>
      <c r="K80" t="s">
        <v>25</v>
      </c>
      <c r="L80" t="s">
        <v>26</v>
      </c>
      <c r="M80">
        <v>44</v>
      </c>
      <c r="N80" t="s">
        <v>30</v>
      </c>
      <c r="O80" t="s">
        <v>478</v>
      </c>
      <c r="P80" t="s">
        <v>29</v>
      </c>
      <c r="Q80" t="s">
        <v>27</v>
      </c>
      <c r="R80">
        <v>1</v>
      </c>
    </row>
    <row r="81" spans="1:18">
      <c r="A81" t="s">
        <v>506</v>
      </c>
      <c r="B81" t="s">
        <v>507</v>
      </c>
      <c r="C81" t="s">
        <v>508</v>
      </c>
      <c r="D81" t="s">
        <v>49</v>
      </c>
      <c r="E81" t="s">
        <v>22</v>
      </c>
      <c r="F81" t="s">
        <v>43</v>
      </c>
      <c r="G81" s="13">
        <v>45725</v>
      </c>
      <c r="H81">
        <v>172</v>
      </c>
      <c r="I81">
        <v>0</v>
      </c>
      <c r="J81" t="s">
        <v>36</v>
      </c>
      <c r="K81" t="s">
        <v>25</v>
      </c>
      <c r="L81" t="s">
        <v>37</v>
      </c>
      <c r="M81">
        <v>15</v>
      </c>
      <c r="N81" t="s">
        <v>30</v>
      </c>
      <c r="O81" t="s">
        <v>478</v>
      </c>
      <c r="P81" t="s">
        <v>29</v>
      </c>
      <c r="Q81" t="s">
        <v>27</v>
      </c>
      <c r="R81">
        <v>1</v>
      </c>
    </row>
    <row r="82" spans="1:18">
      <c r="A82" t="s">
        <v>482</v>
      </c>
      <c r="B82" t="s">
        <v>483</v>
      </c>
      <c r="C82" t="s">
        <v>484</v>
      </c>
      <c r="D82" t="s">
        <v>49</v>
      </c>
      <c r="E82" t="s">
        <v>34</v>
      </c>
      <c r="F82" t="s">
        <v>73</v>
      </c>
      <c r="G82" s="13">
        <v>45719</v>
      </c>
      <c r="H82">
        <v>151</v>
      </c>
      <c r="I82">
        <v>0</v>
      </c>
      <c r="J82" t="s">
        <v>36</v>
      </c>
      <c r="K82" t="s">
        <v>25</v>
      </c>
      <c r="L82" t="s">
        <v>37</v>
      </c>
      <c r="M82">
        <v>47</v>
      </c>
      <c r="N82" t="s">
        <v>30</v>
      </c>
      <c r="O82" t="s">
        <v>478</v>
      </c>
      <c r="P82" t="s">
        <v>29</v>
      </c>
      <c r="Q82" t="s">
        <v>27</v>
      </c>
      <c r="R82">
        <v>1</v>
      </c>
    </row>
    <row r="83" spans="1:18">
      <c r="A83" t="s">
        <v>472</v>
      </c>
      <c r="B83" t="s">
        <v>473</v>
      </c>
      <c r="C83" t="s">
        <v>474</v>
      </c>
      <c r="D83" t="s">
        <v>62</v>
      </c>
      <c r="E83" t="s">
        <v>42</v>
      </c>
      <c r="F83" t="s">
        <v>35</v>
      </c>
      <c r="G83" s="13">
        <v>45708</v>
      </c>
      <c r="H83">
        <v>178</v>
      </c>
      <c r="I83">
        <v>38.369999999999997</v>
      </c>
      <c r="J83" t="s">
        <v>44</v>
      </c>
      <c r="K83" t="s">
        <v>25</v>
      </c>
      <c r="L83" t="s">
        <v>26</v>
      </c>
      <c r="M83">
        <v>32</v>
      </c>
      <c r="N83" t="s">
        <v>30</v>
      </c>
      <c r="O83" t="s">
        <v>351</v>
      </c>
      <c r="P83" t="s">
        <v>29</v>
      </c>
      <c r="Q83" t="s">
        <v>30</v>
      </c>
      <c r="R83">
        <v>1</v>
      </c>
    </row>
    <row r="84" spans="1:18">
      <c r="A84" t="s">
        <v>460</v>
      </c>
      <c r="B84" t="s">
        <v>461</v>
      </c>
      <c r="C84" t="s">
        <v>462</v>
      </c>
      <c r="D84" t="s">
        <v>57</v>
      </c>
      <c r="E84" t="s">
        <v>42</v>
      </c>
      <c r="F84" t="s">
        <v>58</v>
      </c>
      <c r="G84" s="13">
        <v>45708</v>
      </c>
      <c r="H84">
        <v>127</v>
      </c>
      <c r="I84">
        <v>40.21</v>
      </c>
      <c r="J84" t="s">
        <v>44</v>
      </c>
      <c r="K84" t="s">
        <v>25</v>
      </c>
      <c r="L84" t="s">
        <v>26</v>
      </c>
      <c r="M84">
        <v>38</v>
      </c>
      <c r="N84" t="s">
        <v>30</v>
      </c>
      <c r="O84" t="s">
        <v>351</v>
      </c>
      <c r="P84" t="s">
        <v>29</v>
      </c>
      <c r="Q84" t="s">
        <v>30</v>
      </c>
      <c r="R84">
        <v>1</v>
      </c>
    </row>
    <row r="85" spans="1:18">
      <c r="A85" t="s">
        <v>445</v>
      </c>
      <c r="B85" t="s">
        <v>446</v>
      </c>
      <c r="C85" t="s">
        <v>447</v>
      </c>
      <c r="D85" t="s">
        <v>49</v>
      </c>
      <c r="E85" t="s">
        <v>22</v>
      </c>
      <c r="F85" t="s">
        <v>43</v>
      </c>
      <c r="G85" s="13">
        <v>45710</v>
      </c>
      <c r="H85">
        <v>80</v>
      </c>
      <c r="I85">
        <v>42.33</v>
      </c>
      <c r="J85" t="s">
        <v>24</v>
      </c>
      <c r="K85" t="s">
        <v>25</v>
      </c>
      <c r="L85" t="s">
        <v>26</v>
      </c>
      <c r="M85">
        <v>23</v>
      </c>
      <c r="N85" t="s">
        <v>30</v>
      </c>
      <c r="O85" t="s">
        <v>351</v>
      </c>
      <c r="P85" t="s">
        <v>29</v>
      </c>
      <c r="Q85" t="s">
        <v>30</v>
      </c>
      <c r="R85">
        <v>1</v>
      </c>
    </row>
    <row r="86" spans="1:18">
      <c r="A86" t="s">
        <v>300</v>
      </c>
      <c r="B86" t="s">
        <v>301</v>
      </c>
      <c r="C86" t="s">
        <v>302</v>
      </c>
      <c r="D86" t="s">
        <v>57</v>
      </c>
      <c r="E86" t="s">
        <v>42</v>
      </c>
      <c r="F86" t="s">
        <v>23</v>
      </c>
      <c r="G86" s="13">
        <v>45675</v>
      </c>
      <c r="H86">
        <v>154</v>
      </c>
      <c r="I86">
        <v>0</v>
      </c>
      <c r="J86" t="s">
        <v>36</v>
      </c>
      <c r="K86" t="s">
        <v>25</v>
      </c>
      <c r="L86" t="s">
        <v>37</v>
      </c>
      <c r="M86">
        <v>8</v>
      </c>
      <c r="N86" t="s">
        <v>30</v>
      </c>
      <c r="O86" t="s">
        <v>154</v>
      </c>
      <c r="P86" t="s">
        <v>29</v>
      </c>
      <c r="Q86" t="s">
        <v>27</v>
      </c>
      <c r="R86">
        <v>1</v>
      </c>
    </row>
    <row r="87" spans="1:18">
      <c r="A87" t="s">
        <v>436</v>
      </c>
      <c r="B87" t="s">
        <v>437</v>
      </c>
      <c r="C87" t="s">
        <v>438</v>
      </c>
      <c r="D87" t="s">
        <v>49</v>
      </c>
      <c r="E87" t="s">
        <v>22</v>
      </c>
      <c r="F87" t="s">
        <v>73</v>
      </c>
      <c r="G87" s="13">
        <v>45703</v>
      </c>
      <c r="H87">
        <v>166</v>
      </c>
      <c r="I87">
        <v>0</v>
      </c>
      <c r="J87" t="s">
        <v>36</v>
      </c>
      <c r="K87" t="s">
        <v>25</v>
      </c>
      <c r="L87" t="s">
        <v>37</v>
      </c>
      <c r="M87">
        <v>39</v>
      </c>
      <c r="N87" t="s">
        <v>30</v>
      </c>
      <c r="O87" t="s">
        <v>351</v>
      </c>
      <c r="P87" t="s">
        <v>29</v>
      </c>
      <c r="Q87" t="s">
        <v>27</v>
      </c>
      <c r="R87">
        <v>1</v>
      </c>
    </row>
    <row r="88" spans="1:18">
      <c r="A88" t="s">
        <v>424</v>
      </c>
      <c r="B88" t="s">
        <v>425</v>
      </c>
      <c r="C88" t="s">
        <v>426</v>
      </c>
      <c r="D88" t="s">
        <v>57</v>
      </c>
      <c r="E88" t="s">
        <v>22</v>
      </c>
      <c r="F88" t="s">
        <v>43</v>
      </c>
      <c r="G88" s="13">
        <v>45701</v>
      </c>
      <c r="H88">
        <v>111</v>
      </c>
      <c r="I88">
        <v>46.08</v>
      </c>
      <c r="J88" t="s">
        <v>24</v>
      </c>
      <c r="K88" t="s">
        <v>45</v>
      </c>
      <c r="L88" t="s">
        <v>26</v>
      </c>
      <c r="M88">
        <v>15</v>
      </c>
      <c r="N88" t="s">
        <v>30</v>
      </c>
      <c r="O88" t="s">
        <v>351</v>
      </c>
      <c r="P88" t="s">
        <v>29</v>
      </c>
      <c r="Q88" t="s">
        <v>30</v>
      </c>
      <c r="R88">
        <v>1</v>
      </c>
    </row>
    <row r="89" spans="1:18">
      <c r="A89" t="s">
        <v>418</v>
      </c>
      <c r="B89" t="s">
        <v>419</v>
      </c>
      <c r="C89" t="s">
        <v>420</v>
      </c>
      <c r="D89" t="s">
        <v>49</v>
      </c>
      <c r="E89" t="s">
        <v>42</v>
      </c>
      <c r="F89" t="s">
        <v>43</v>
      </c>
      <c r="G89" s="13">
        <v>45701</v>
      </c>
      <c r="H89">
        <v>154</v>
      </c>
      <c r="I89">
        <v>0</v>
      </c>
      <c r="J89" t="s">
        <v>36</v>
      </c>
      <c r="K89" t="s">
        <v>25</v>
      </c>
      <c r="L89" t="s">
        <v>37</v>
      </c>
      <c r="M89">
        <v>27</v>
      </c>
      <c r="N89" t="s">
        <v>30</v>
      </c>
      <c r="O89" t="s">
        <v>351</v>
      </c>
      <c r="P89" t="s">
        <v>29</v>
      </c>
      <c r="Q89" t="s">
        <v>27</v>
      </c>
      <c r="R89">
        <v>1</v>
      </c>
    </row>
    <row r="90" spans="1:18">
      <c r="A90" t="s">
        <v>406</v>
      </c>
      <c r="B90" t="s">
        <v>407</v>
      </c>
      <c r="C90" t="s">
        <v>408</v>
      </c>
      <c r="D90" t="s">
        <v>62</v>
      </c>
      <c r="E90" t="s">
        <v>42</v>
      </c>
      <c r="F90" t="s">
        <v>80</v>
      </c>
      <c r="G90" s="13">
        <v>45700</v>
      </c>
      <c r="H90">
        <v>166</v>
      </c>
      <c r="I90">
        <v>0</v>
      </c>
      <c r="J90" t="s">
        <v>36</v>
      </c>
      <c r="K90" t="s">
        <v>25</v>
      </c>
      <c r="L90" t="s">
        <v>37</v>
      </c>
      <c r="M90">
        <v>43</v>
      </c>
      <c r="N90" t="s">
        <v>30</v>
      </c>
      <c r="O90" t="s">
        <v>351</v>
      </c>
      <c r="P90" t="s">
        <v>29</v>
      </c>
      <c r="Q90" t="s">
        <v>27</v>
      </c>
      <c r="R90">
        <v>1</v>
      </c>
    </row>
    <row r="91" spans="1:18">
      <c r="A91" t="s">
        <v>391</v>
      </c>
      <c r="B91" t="s">
        <v>392</v>
      </c>
      <c r="C91" t="s">
        <v>393</v>
      </c>
      <c r="D91" t="s">
        <v>62</v>
      </c>
      <c r="E91" t="s">
        <v>42</v>
      </c>
      <c r="F91" t="s">
        <v>23</v>
      </c>
      <c r="G91" s="13">
        <v>45712</v>
      </c>
      <c r="H91">
        <v>158</v>
      </c>
      <c r="I91">
        <v>0</v>
      </c>
      <c r="J91" t="s">
        <v>36</v>
      </c>
      <c r="K91" t="s">
        <v>25</v>
      </c>
      <c r="L91" t="s">
        <v>26</v>
      </c>
      <c r="M91">
        <v>17</v>
      </c>
      <c r="N91" t="s">
        <v>30</v>
      </c>
      <c r="O91" t="s">
        <v>351</v>
      </c>
      <c r="P91" t="s">
        <v>29</v>
      </c>
      <c r="Q91" t="s">
        <v>27</v>
      </c>
      <c r="R91">
        <v>1</v>
      </c>
    </row>
    <row r="92" spans="1:18">
      <c r="A92" t="s">
        <v>318</v>
      </c>
      <c r="B92" t="s">
        <v>319</v>
      </c>
      <c r="C92" t="s">
        <v>320</v>
      </c>
      <c r="D92" t="s">
        <v>21</v>
      </c>
      <c r="E92" t="s">
        <v>42</v>
      </c>
      <c r="F92" t="s">
        <v>43</v>
      </c>
      <c r="G92" s="13">
        <v>45671</v>
      </c>
      <c r="H92">
        <v>179</v>
      </c>
      <c r="I92">
        <v>0</v>
      </c>
      <c r="J92" t="s">
        <v>36</v>
      </c>
      <c r="K92" t="s">
        <v>25</v>
      </c>
      <c r="L92" t="s">
        <v>26</v>
      </c>
      <c r="M92">
        <v>34</v>
      </c>
      <c r="N92" t="s">
        <v>30</v>
      </c>
      <c r="O92" t="s">
        <v>154</v>
      </c>
      <c r="P92" t="s">
        <v>29</v>
      </c>
      <c r="Q92" t="s">
        <v>27</v>
      </c>
      <c r="R92">
        <v>1</v>
      </c>
    </row>
    <row r="93" spans="1:18">
      <c r="A93" t="s">
        <v>367</v>
      </c>
      <c r="B93" t="s">
        <v>368</v>
      </c>
      <c r="C93" t="s">
        <v>369</v>
      </c>
      <c r="D93" t="s">
        <v>62</v>
      </c>
      <c r="E93" t="s">
        <v>22</v>
      </c>
      <c r="F93" t="s">
        <v>23</v>
      </c>
      <c r="G93" s="13">
        <v>45702</v>
      </c>
      <c r="H93">
        <v>154</v>
      </c>
      <c r="I93">
        <v>0</v>
      </c>
      <c r="J93" t="s">
        <v>36</v>
      </c>
      <c r="K93" t="s">
        <v>25</v>
      </c>
      <c r="L93" t="s">
        <v>37</v>
      </c>
      <c r="M93">
        <v>44</v>
      </c>
      <c r="N93" t="s">
        <v>30</v>
      </c>
      <c r="O93" t="s">
        <v>351</v>
      </c>
      <c r="P93" t="s">
        <v>29</v>
      </c>
      <c r="Q93" t="s">
        <v>27</v>
      </c>
      <c r="R93">
        <v>1</v>
      </c>
    </row>
    <row r="94" spans="1:18">
      <c r="A94" t="s">
        <v>364</v>
      </c>
      <c r="B94" t="s">
        <v>365</v>
      </c>
      <c r="C94" t="s">
        <v>366</v>
      </c>
      <c r="D94" t="s">
        <v>41</v>
      </c>
      <c r="E94" t="s">
        <v>34</v>
      </c>
      <c r="F94" t="s">
        <v>43</v>
      </c>
      <c r="G94" s="13">
        <v>45696</v>
      </c>
      <c r="H94">
        <v>165</v>
      </c>
      <c r="I94">
        <v>0</v>
      </c>
      <c r="J94" t="s">
        <v>36</v>
      </c>
      <c r="K94" t="s">
        <v>25</v>
      </c>
      <c r="L94" t="s">
        <v>37</v>
      </c>
      <c r="M94">
        <v>23</v>
      </c>
      <c r="N94" t="s">
        <v>30</v>
      </c>
      <c r="O94" t="s">
        <v>351</v>
      </c>
      <c r="P94" t="s">
        <v>29</v>
      </c>
      <c r="Q94" t="s">
        <v>27</v>
      </c>
      <c r="R94">
        <v>1</v>
      </c>
    </row>
    <row r="95" spans="1:18">
      <c r="A95" t="s">
        <v>327</v>
      </c>
      <c r="B95" t="s">
        <v>328</v>
      </c>
      <c r="C95" t="s">
        <v>329</v>
      </c>
      <c r="D95" t="s">
        <v>49</v>
      </c>
      <c r="E95" t="s">
        <v>34</v>
      </c>
      <c r="F95" t="s">
        <v>35</v>
      </c>
      <c r="G95" s="13">
        <v>45665</v>
      </c>
      <c r="H95">
        <v>159</v>
      </c>
      <c r="I95">
        <v>0</v>
      </c>
      <c r="J95" t="s">
        <v>36</v>
      </c>
      <c r="K95" t="s">
        <v>25</v>
      </c>
      <c r="L95" t="s">
        <v>37</v>
      </c>
      <c r="M95">
        <v>20</v>
      </c>
      <c r="N95" t="s">
        <v>30</v>
      </c>
      <c r="O95" t="s">
        <v>154</v>
      </c>
      <c r="P95" t="s">
        <v>29</v>
      </c>
      <c r="Q95" t="s">
        <v>27</v>
      </c>
      <c r="R95">
        <v>1</v>
      </c>
    </row>
    <row r="96" spans="1:18">
      <c r="A96" t="s">
        <v>352</v>
      </c>
      <c r="B96" t="s">
        <v>353</v>
      </c>
      <c r="C96" t="s">
        <v>354</v>
      </c>
      <c r="D96" t="s">
        <v>49</v>
      </c>
      <c r="E96" t="s">
        <v>22</v>
      </c>
      <c r="F96" t="s">
        <v>73</v>
      </c>
      <c r="G96" s="13">
        <v>45702</v>
      </c>
      <c r="H96">
        <v>157</v>
      </c>
      <c r="I96">
        <v>26.84</v>
      </c>
      <c r="J96" t="s">
        <v>24</v>
      </c>
      <c r="K96" t="s">
        <v>25</v>
      </c>
      <c r="L96" t="s">
        <v>26</v>
      </c>
      <c r="M96">
        <v>25</v>
      </c>
      <c r="N96" t="s">
        <v>30</v>
      </c>
      <c r="O96" t="s">
        <v>351</v>
      </c>
      <c r="P96" t="s">
        <v>29</v>
      </c>
      <c r="Q96" t="s">
        <v>30</v>
      </c>
      <c r="R96">
        <v>1</v>
      </c>
    </row>
    <row r="97" spans="1:18">
      <c r="A97" t="s">
        <v>348</v>
      </c>
      <c r="B97" t="s">
        <v>349</v>
      </c>
      <c r="C97" t="s">
        <v>350</v>
      </c>
      <c r="D97" t="s">
        <v>57</v>
      </c>
      <c r="E97" t="s">
        <v>42</v>
      </c>
      <c r="F97" t="s">
        <v>35</v>
      </c>
      <c r="G97" s="13">
        <v>45696</v>
      </c>
      <c r="H97">
        <v>179</v>
      </c>
      <c r="I97">
        <v>0</v>
      </c>
      <c r="J97" t="s">
        <v>36</v>
      </c>
      <c r="K97" t="s">
        <v>25</v>
      </c>
      <c r="L97" t="s">
        <v>37</v>
      </c>
      <c r="M97">
        <v>42</v>
      </c>
      <c r="N97" t="s">
        <v>30</v>
      </c>
      <c r="O97" t="s">
        <v>351</v>
      </c>
      <c r="P97" t="s">
        <v>29</v>
      </c>
      <c r="Q97" t="s">
        <v>27</v>
      </c>
      <c r="R97">
        <v>1</v>
      </c>
    </row>
    <row r="98" spans="1:18">
      <c r="A98" t="s">
        <v>342</v>
      </c>
      <c r="B98" t="s">
        <v>343</v>
      </c>
      <c r="C98" t="s">
        <v>344</v>
      </c>
      <c r="D98" t="s">
        <v>57</v>
      </c>
      <c r="E98" t="s">
        <v>34</v>
      </c>
      <c r="F98" t="s">
        <v>23</v>
      </c>
      <c r="G98" s="13">
        <v>45688</v>
      </c>
      <c r="H98">
        <v>156</v>
      </c>
      <c r="I98">
        <v>0</v>
      </c>
      <c r="J98" t="s">
        <v>36</v>
      </c>
      <c r="K98" t="s">
        <v>45</v>
      </c>
      <c r="L98" t="s">
        <v>37</v>
      </c>
      <c r="M98">
        <v>14</v>
      </c>
      <c r="N98" t="s">
        <v>30</v>
      </c>
      <c r="O98" t="s">
        <v>154</v>
      </c>
      <c r="P98" t="s">
        <v>29</v>
      </c>
      <c r="Q98" t="s">
        <v>27</v>
      </c>
      <c r="R98">
        <v>1</v>
      </c>
    </row>
    <row r="99" spans="1:18">
      <c r="A99" t="s">
        <v>339</v>
      </c>
      <c r="B99" t="s">
        <v>340</v>
      </c>
      <c r="C99" t="s">
        <v>341</v>
      </c>
      <c r="D99" t="s">
        <v>21</v>
      </c>
      <c r="E99" t="s">
        <v>34</v>
      </c>
      <c r="F99" t="s">
        <v>58</v>
      </c>
      <c r="G99" s="13">
        <v>45678</v>
      </c>
      <c r="H99">
        <v>152</v>
      </c>
      <c r="I99">
        <v>0</v>
      </c>
      <c r="J99" t="s">
        <v>36</v>
      </c>
      <c r="K99" t="s">
        <v>25</v>
      </c>
      <c r="L99" t="s">
        <v>37</v>
      </c>
      <c r="M99">
        <v>31</v>
      </c>
      <c r="N99" t="s">
        <v>30</v>
      </c>
      <c r="O99" t="s">
        <v>154</v>
      </c>
      <c r="P99" t="s">
        <v>29</v>
      </c>
      <c r="Q99" t="s">
        <v>27</v>
      </c>
      <c r="R9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24"/>
  <sheetViews>
    <sheetView workbookViewId="0">
      <selection activeCell="L19" sqref="L19"/>
    </sheetView>
  </sheetViews>
  <sheetFormatPr defaultColWidth="9" defaultRowHeight="14.4"/>
  <cols>
    <col min="1" max="1" width="12.5546875" bestFit="1" customWidth="1"/>
    <col min="2" max="2" width="16.33203125" bestFit="1" customWidth="1"/>
    <col min="3" max="3" width="3.77734375" customWidth="1"/>
    <col min="4" max="4" width="10.77734375" bestFit="1" customWidth="1"/>
    <col min="5" max="6" width="16.33203125" customWidth="1"/>
    <col min="7" max="7" width="15.5546875" customWidth="1"/>
    <col min="8" max="8" width="3" bestFit="1" customWidth="1"/>
    <col min="9" max="9" width="10.77734375" bestFit="1" customWidth="1"/>
    <col min="10" max="10" width="10.77734375" customWidth="1"/>
    <col min="12" max="12" width="16.33203125" customWidth="1"/>
    <col min="13" max="13" width="15.5546875" customWidth="1"/>
    <col min="14" max="14" width="3" bestFit="1" customWidth="1"/>
    <col min="15" max="16" width="10.77734375" customWidth="1"/>
  </cols>
  <sheetData>
    <row r="2" spans="1:15" ht="19.8">
      <c r="A2" s="11" t="s">
        <v>1024</v>
      </c>
      <c r="D2" s="11" t="s">
        <v>1025</v>
      </c>
      <c r="H2" s="11" t="s">
        <v>1026</v>
      </c>
    </row>
    <row r="3" spans="1:15">
      <c r="A3" s="14" t="s">
        <v>1027</v>
      </c>
      <c r="B3" t="s">
        <v>1028</v>
      </c>
      <c r="D3" s="14" t="s">
        <v>1027</v>
      </c>
      <c r="E3" t="s">
        <v>1028</v>
      </c>
      <c r="H3" s="14" t="s">
        <v>1027</v>
      </c>
      <c r="I3" t="s">
        <v>1028</v>
      </c>
    </row>
    <row r="4" spans="1:15">
      <c r="A4" s="12" t="s">
        <v>28</v>
      </c>
      <c r="B4" s="15">
        <v>35</v>
      </c>
      <c r="D4" s="12" t="s">
        <v>29</v>
      </c>
      <c r="E4" s="15">
        <v>326</v>
      </c>
      <c r="H4" s="12" t="s">
        <v>27</v>
      </c>
      <c r="I4" s="15">
        <v>265</v>
      </c>
    </row>
    <row r="5" spans="1:15">
      <c r="A5" s="12" t="s">
        <v>154</v>
      </c>
      <c r="B5" s="15">
        <v>65</v>
      </c>
      <c r="D5" s="12" t="s">
        <v>1029</v>
      </c>
      <c r="E5" s="15">
        <v>326</v>
      </c>
      <c r="H5" s="12" t="s">
        <v>30</v>
      </c>
      <c r="I5" s="15">
        <v>61</v>
      </c>
    </row>
    <row r="6" spans="1:15">
      <c r="A6" s="12" t="s">
        <v>351</v>
      </c>
      <c r="B6" s="15">
        <v>42</v>
      </c>
      <c r="H6" s="12" t="s">
        <v>1029</v>
      </c>
      <c r="I6" s="15">
        <v>326</v>
      </c>
    </row>
    <row r="7" spans="1:15">
      <c r="A7" s="12" t="s">
        <v>478</v>
      </c>
      <c r="B7" s="15">
        <v>46</v>
      </c>
    </row>
    <row r="8" spans="1:15">
      <c r="A8" s="12" t="s">
        <v>614</v>
      </c>
      <c r="B8" s="15">
        <v>47</v>
      </c>
    </row>
    <row r="9" spans="1:15">
      <c r="A9" s="12" t="s">
        <v>754</v>
      </c>
      <c r="B9" s="15">
        <v>70</v>
      </c>
    </row>
    <row r="10" spans="1:15">
      <c r="A10" s="12" t="s">
        <v>964</v>
      </c>
      <c r="B10" s="15">
        <v>21</v>
      </c>
    </row>
    <row r="11" spans="1:15">
      <c r="A11" s="12" t="s">
        <v>1029</v>
      </c>
      <c r="B11" s="15">
        <v>326</v>
      </c>
    </row>
    <row r="14" spans="1:15" ht="19.8">
      <c r="A14" s="11" t="s">
        <v>1030</v>
      </c>
      <c r="F14" s="11" t="s">
        <v>1031</v>
      </c>
      <c r="L14" s="11" t="s">
        <v>1032</v>
      </c>
    </row>
    <row r="15" spans="1:15">
      <c r="A15" s="14" t="s">
        <v>1028</v>
      </c>
      <c r="B15" s="14" t="s">
        <v>1033</v>
      </c>
      <c r="F15" s="14" t="s">
        <v>1028</v>
      </c>
      <c r="G15" s="14" t="s">
        <v>1033</v>
      </c>
      <c r="L15" s="14" t="s">
        <v>1028</v>
      </c>
      <c r="M15" s="14" t="s">
        <v>1033</v>
      </c>
    </row>
    <row r="16" spans="1:15">
      <c r="A16" s="14" t="s">
        <v>1027</v>
      </c>
      <c r="B16" t="s">
        <v>27</v>
      </c>
      <c r="C16" t="s">
        <v>30</v>
      </c>
      <c r="D16" t="s">
        <v>1029</v>
      </c>
      <c r="F16" s="14" t="s">
        <v>1027</v>
      </c>
      <c r="G16">
        <v>0</v>
      </c>
      <c r="H16">
        <v>1</v>
      </c>
      <c r="I16" t="s">
        <v>1029</v>
      </c>
      <c r="L16" s="14" t="s">
        <v>1027</v>
      </c>
      <c r="M16">
        <v>0</v>
      </c>
      <c r="N16">
        <v>1</v>
      </c>
      <c r="O16" t="s">
        <v>1029</v>
      </c>
    </row>
    <row r="17" spans="1:15">
      <c r="A17" s="12" t="s">
        <v>28</v>
      </c>
      <c r="B17" s="15">
        <v>30</v>
      </c>
      <c r="C17" s="15">
        <v>5</v>
      </c>
      <c r="D17" s="15">
        <v>35</v>
      </c>
      <c r="F17" s="12" t="s">
        <v>29</v>
      </c>
      <c r="G17" s="15">
        <v>228</v>
      </c>
      <c r="H17" s="15">
        <v>98</v>
      </c>
      <c r="I17" s="15">
        <v>326</v>
      </c>
      <c r="L17" s="12" t="s">
        <v>28</v>
      </c>
      <c r="M17" s="15">
        <v>20</v>
      </c>
      <c r="N17" s="15">
        <v>15</v>
      </c>
      <c r="O17" s="15">
        <v>35</v>
      </c>
    </row>
    <row r="18" spans="1:15">
      <c r="A18" s="12" t="s">
        <v>154</v>
      </c>
      <c r="B18" s="15">
        <v>56</v>
      </c>
      <c r="C18" s="15">
        <v>9</v>
      </c>
      <c r="D18" s="15">
        <v>65</v>
      </c>
      <c r="F18" s="12" t="s">
        <v>1029</v>
      </c>
      <c r="G18" s="15">
        <v>228</v>
      </c>
      <c r="H18" s="15">
        <v>98</v>
      </c>
      <c r="I18" s="15">
        <v>326</v>
      </c>
      <c r="L18" s="12" t="s">
        <v>154</v>
      </c>
      <c r="M18" s="15">
        <v>47</v>
      </c>
      <c r="N18" s="15">
        <v>18</v>
      </c>
      <c r="O18" s="15">
        <v>65</v>
      </c>
    </row>
    <row r="19" spans="1:15">
      <c r="A19" s="12" t="s">
        <v>351</v>
      </c>
      <c r="B19" s="15">
        <v>32</v>
      </c>
      <c r="C19" s="15">
        <v>10</v>
      </c>
      <c r="D19" s="15">
        <v>42</v>
      </c>
      <c r="L19" s="12" t="s">
        <v>351</v>
      </c>
      <c r="M19" s="15">
        <v>30</v>
      </c>
      <c r="N19" s="15">
        <v>12</v>
      </c>
      <c r="O19" s="15">
        <v>42</v>
      </c>
    </row>
    <row r="20" spans="1:15">
      <c r="A20" s="12" t="s">
        <v>478</v>
      </c>
      <c r="B20" s="15">
        <v>39</v>
      </c>
      <c r="C20" s="15">
        <v>7</v>
      </c>
      <c r="D20" s="15">
        <v>46</v>
      </c>
      <c r="L20" s="12" t="s">
        <v>478</v>
      </c>
      <c r="M20" s="15">
        <v>30</v>
      </c>
      <c r="N20" s="15">
        <v>16</v>
      </c>
      <c r="O20" s="15">
        <v>46</v>
      </c>
    </row>
    <row r="21" spans="1:15">
      <c r="A21" s="12" t="s">
        <v>614</v>
      </c>
      <c r="B21" s="15">
        <v>37</v>
      </c>
      <c r="C21" s="15">
        <v>10</v>
      </c>
      <c r="D21" s="15">
        <v>47</v>
      </c>
      <c r="L21" s="12" t="s">
        <v>614</v>
      </c>
      <c r="M21" s="15">
        <v>37</v>
      </c>
      <c r="N21" s="15">
        <v>10</v>
      </c>
      <c r="O21" s="15">
        <v>47</v>
      </c>
    </row>
    <row r="22" spans="1:15">
      <c r="A22" s="12" t="s">
        <v>754</v>
      </c>
      <c r="B22" s="15">
        <v>53</v>
      </c>
      <c r="C22" s="15">
        <v>17</v>
      </c>
      <c r="D22" s="15">
        <v>70</v>
      </c>
      <c r="L22" s="12" t="s">
        <v>754</v>
      </c>
      <c r="M22" s="15">
        <v>50</v>
      </c>
      <c r="N22" s="15">
        <v>20</v>
      </c>
      <c r="O22" s="15">
        <v>70</v>
      </c>
    </row>
    <row r="23" spans="1:15">
      <c r="A23" s="12" t="s">
        <v>964</v>
      </c>
      <c r="B23" s="15">
        <v>18</v>
      </c>
      <c r="C23" s="15">
        <v>3</v>
      </c>
      <c r="D23" s="15">
        <v>21</v>
      </c>
      <c r="L23" s="12" t="s">
        <v>964</v>
      </c>
      <c r="M23" s="15">
        <v>14</v>
      </c>
      <c r="N23" s="15">
        <v>7</v>
      </c>
      <c r="O23" s="15">
        <v>21</v>
      </c>
    </row>
    <row r="24" spans="1:15">
      <c r="A24" s="12" t="s">
        <v>1029</v>
      </c>
      <c r="B24" s="15">
        <v>265</v>
      </c>
      <c r="C24" s="15">
        <v>61</v>
      </c>
      <c r="D24" s="15">
        <v>326</v>
      </c>
      <c r="L24" s="12" t="s">
        <v>1029</v>
      </c>
      <c r="M24" s="15">
        <v>228</v>
      </c>
      <c r="N24" s="15">
        <v>98</v>
      </c>
      <c r="O24" s="15">
        <v>326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1"/>
  <sheetViews>
    <sheetView workbookViewId="0">
      <selection activeCell="H13" sqref="H13"/>
    </sheetView>
  </sheetViews>
  <sheetFormatPr defaultColWidth="9" defaultRowHeight="14.4"/>
  <cols>
    <col min="1" max="1" width="13.21875" customWidth="1"/>
    <col min="2" max="2" width="11.33203125" customWidth="1"/>
    <col min="3" max="3" width="21.6640625" customWidth="1"/>
    <col min="4" max="4" width="18.109375" customWidth="1"/>
    <col min="5" max="5" width="12.6640625" customWidth="1"/>
    <col min="6" max="6" width="11.77734375" customWidth="1"/>
    <col min="7" max="7" width="16.77734375" customWidth="1"/>
    <col min="8" max="8" width="18.5546875" customWidth="1"/>
    <col min="9" max="9" width="20.77734375" customWidth="1"/>
    <col min="10" max="10" width="23" customWidth="1"/>
    <col min="11" max="11" width="19.88671875" customWidth="1"/>
    <col min="12" max="12" width="18.88671875" customWidth="1"/>
    <col min="13" max="13" width="16.77734375" customWidth="1"/>
    <col min="14" max="14" width="21.77734375" customWidth="1"/>
    <col min="15" max="15" width="12.44140625" customWidth="1"/>
    <col min="16" max="16" width="15.77734375" customWidth="1"/>
    <col min="17" max="17" width="15" customWidth="1"/>
    <col min="18" max="19" width="17.21875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/>
    </row>
    <row r="2" spans="1:19">
      <c r="A2" t="s">
        <v>348</v>
      </c>
      <c r="B2" t="s">
        <v>349</v>
      </c>
      <c r="C2" t="s">
        <v>350</v>
      </c>
      <c r="D2" t="s">
        <v>57</v>
      </c>
      <c r="E2" t="s">
        <v>42</v>
      </c>
      <c r="F2" t="s">
        <v>35</v>
      </c>
      <c r="G2" s="7">
        <v>45696</v>
      </c>
      <c r="H2">
        <v>179</v>
      </c>
      <c r="I2">
        <v>0</v>
      </c>
      <c r="J2" t="s">
        <v>36</v>
      </c>
      <c r="K2" t="s">
        <v>25</v>
      </c>
      <c r="L2" t="s">
        <v>37</v>
      </c>
      <c r="M2">
        <v>42</v>
      </c>
      <c r="N2" t="s">
        <v>30</v>
      </c>
      <c r="O2" t="str">
        <f>TEXT(G2,"yyyy-mm")</f>
        <v>2025-02</v>
      </c>
      <c r="P2" t="str">
        <f>IF(H2&lt;20,"Low",IF(H2&lt;=60,"Medium","High"))</f>
        <v>High</v>
      </c>
      <c r="Q2" t="str">
        <f>IF(I2&gt;0,"Yes","No")</f>
        <v>No</v>
      </c>
      <c r="R2" s="10">
        <f>IF(N2="Yes",1,0)</f>
        <v>1</v>
      </c>
    </row>
    <row r="3" spans="1:1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7">
        <v>45642</v>
      </c>
      <c r="H3">
        <v>75</v>
      </c>
      <c r="I3">
        <v>26.02</v>
      </c>
      <c r="J3" t="s">
        <v>24</v>
      </c>
      <c r="K3" t="s">
        <v>25</v>
      </c>
      <c r="L3" t="s">
        <v>26</v>
      </c>
      <c r="M3">
        <v>11</v>
      </c>
      <c r="N3" t="s">
        <v>27</v>
      </c>
      <c r="O3" t="str">
        <f t="shared" ref="O3:O66" si="0">TEXT(G3,"yyyy-mm")</f>
        <v>2024-12</v>
      </c>
      <c r="P3" t="str">
        <f t="shared" ref="P3:P66" si="1">IF(H3&lt;20,"Low",IF(H3&lt;=60,"Medium","High"))</f>
        <v>High</v>
      </c>
      <c r="Q3" t="str">
        <f t="shared" ref="Q3:Q66" si="2">IF(I3&gt;0,"Yes","No")</f>
        <v>Yes</v>
      </c>
      <c r="R3" s="10">
        <f t="shared" ref="R3:R66" si="3">IF(N3="Yes",1,0)</f>
        <v>0</v>
      </c>
    </row>
    <row r="4" spans="1:19">
      <c r="A4" t="s">
        <v>1034</v>
      </c>
      <c r="B4" t="s">
        <v>1035</v>
      </c>
      <c r="C4" t="s">
        <v>1036</v>
      </c>
      <c r="D4" t="s">
        <v>62</v>
      </c>
      <c r="E4" t="s">
        <v>42</v>
      </c>
      <c r="F4" t="s">
        <v>35</v>
      </c>
      <c r="G4" s="7">
        <v>45643</v>
      </c>
      <c r="H4">
        <v>36</v>
      </c>
      <c r="I4">
        <v>2.94</v>
      </c>
      <c r="J4" t="s">
        <v>173</v>
      </c>
      <c r="K4" t="s">
        <v>25</v>
      </c>
      <c r="L4" t="s">
        <v>26</v>
      </c>
      <c r="M4">
        <v>4</v>
      </c>
      <c r="N4" t="s">
        <v>27</v>
      </c>
      <c r="O4" t="str">
        <f t="shared" si="0"/>
        <v>2024-12</v>
      </c>
      <c r="P4" t="str">
        <f t="shared" si="1"/>
        <v>Medium</v>
      </c>
      <c r="Q4" t="str">
        <f t="shared" si="2"/>
        <v>Yes</v>
      </c>
      <c r="R4" s="10">
        <f t="shared" si="3"/>
        <v>0</v>
      </c>
    </row>
    <row r="5" spans="1:19">
      <c r="A5" t="s">
        <v>961</v>
      </c>
      <c r="B5" t="s">
        <v>962</v>
      </c>
      <c r="C5" t="s">
        <v>963</v>
      </c>
      <c r="D5" t="s">
        <v>41</v>
      </c>
      <c r="E5" t="s">
        <v>22</v>
      </c>
      <c r="F5" t="s">
        <v>23</v>
      </c>
      <c r="G5" s="7">
        <v>45820</v>
      </c>
      <c r="H5">
        <v>153</v>
      </c>
      <c r="I5">
        <v>0</v>
      </c>
      <c r="J5" t="s">
        <v>36</v>
      </c>
      <c r="K5" t="s">
        <v>25</v>
      </c>
      <c r="L5" t="s">
        <v>37</v>
      </c>
      <c r="M5">
        <v>18</v>
      </c>
      <c r="N5" t="s">
        <v>30</v>
      </c>
      <c r="O5" t="str">
        <f t="shared" si="0"/>
        <v>2025-06</v>
      </c>
      <c r="P5" t="str">
        <f t="shared" si="1"/>
        <v>High</v>
      </c>
      <c r="Q5" t="str">
        <f t="shared" si="2"/>
        <v>No</v>
      </c>
      <c r="R5" s="10">
        <f t="shared" si="3"/>
        <v>1</v>
      </c>
    </row>
    <row r="6" spans="1:19">
      <c r="A6" t="s">
        <v>751</v>
      </c>
      <c r="B6" t="s">
        <v>752</v>
      </c>
      <c r="C6" t="s">
        <v>753</v>
      </c>
      <c r="D6" t="s">
        <v>21</v>
      </c>
      <c r="E6" t="s">
        <v>22</v>
      </c>
      <c r="F6" t="s">
        <v>58</v>
      </c>
      <c r="G6" s="7">
        <v>45798</v>
      </c>
      <c r="H6">
        <v>109</v>
      </c>
      <c r="I6">
        <v>5.48</v>
      </c>
      <c r="J6" t="s">
        <v>24</v>
      </c>
      <c r="K6" t="s">
        <v>45</v>
      </c>
      <c r="L6" t="s">
        <v>26</v>
      </c>
      <c r="M6">
        <v>5</v>
      </c>
      <c r="N6" t="s">
        <v>27</v>
      </c>
      <c r="O6" t="str">
        <f t="shared" si="0"/>
        <v>2025-05</v>
      </c>
      <c r="P6" t="str">
        <f t="shared" si="1"/>
        <v>High</v>
      </c>
      <c r="Q6" t="str">
        <f t="shared" si="2"/>
        <v>Yes</v>
      </c>
      <c r="R6" s="10">
        <f t="shared" si="3"/>
        <v>0</v>
      </c>
    </row>
    <row r="7" spans="1:19">
      <c r="A7" t="s">
        <v>1037</v>
      </c>
      <c r="B7" t="s">
        <v>1038</v>
      </c>
      <c r="C7" t="s">
        <v>1039</v>
      </c>
      <c r="D7" t="s">
        <v>21</v>
      </c>
      <c r="E7" t="s">
        <v>22</v>
      </c>
      <c r="F7" t="s">
        <v>58</v>
      </c>
      <c r="G7" s="7">
        <v>45743</v>
      </c>
      <c r="H7">
        <v>46</v>
      </c>
      <c r="I7">
        <v>0</v>
      </c>
      <c r="J7" t="s">
        <v>36</v>
      </c>
      <c r="K7" t="s">
        <v>45</v>
      </c>
      <c r="L7" t="s">
        <v>37</v>
      </c>
      <c r="M7">
        <v>39</v>
      </c>
      <c r="N7" t="s">
        <v>27</v>
      </c>
      <c r="O7" t="str">
        <f t="shared" si="0"/>
        <v>2025-03</v>
      </c>
      <c r="P7" t="str">
        <f t="shared" si="1"/>
        <v>Medium</v>
      </c>
      <c r="Q7" t="str">
        <f t="shared" si="2"/>
        <v>No</v>
      </c>
      <c r="R7" s="10">
        <f t="shared" si="3"/>
        <v>0</v>
      </c>
    </row>
    <row r="8" spans="1:19">
      <c r="A8" t="s">
        <v>611</v>
      </c>
      <c r="B8" t="s">
        <v>612</v>
      </c>
      <c r="C8" t="s">
        <v>613</v>
      </c>
      <c r="D8" t="s">
        <v>41</v>
      </c>
      <c r="E8" t="s">
        <v>42</v>
      </c>
      <c r="F8" t="s">
        <v>43</v>
      </c>
      <c r="G8" s="7">
        <v>45759</v>
      </c>
      <c r="H8">
        <v>134</v>
      </c>
      <c r="I8">
        <v>42.57</v>
      </c>
      <c r="J8" t="s">
        <v>44</v>
      </c>
      <c r="K8" t="s">
        <v>66</v>
      </c>
      <c r="L8" t="s">
        <v>26</v>
      </c>
      <c r="M8">
        <v>40</v>
      </c>
      <c r="N8" t="s">
        <v>30</v>
      </c>
      <c r="O8" t="str">
        <f t="shared" si="0"/>
        <v>2025-04</v>
      </c>
      <c r="P8" t="str">
        <f t="shared" si="1"/>
        <v>High</v>
      </c>
      <c r="Q8" t="str">
        <f t="shared" si="2"/>
        <v>Yes</v>
      </c>
      <c r="R8" s="10">
        <f t="shared" si="3"/>
        <v>1</v>
      </c>
    </row>
    <row r="9" spans="1:19">
      <c r="A9" t="s">
        <v>1040</v>
      </c>
      <c r="B9" t="s">
        <v>1041</v>
      </c>
      <c r="C9" t="s">
        <v>1042</v>
      </c>
      <c r="D9" t="s">
        <v>57</v>
      </c>
      <c r="E9" t="s">
        <v>34</v>
      </c>
      <c r="F9" t="s">
        <v>80</v>
      </c>
      <c r="G9" s="7">
        <v>45666</v>
      </c>
      <c r="H9">
        <v>38</v>
      </c>
      <c r="I9">
        <v>0</v>
      </c>
      <c r="J9" t="s">
        <v>36</v>
      </c>
      <c r="K9" t="s">
        <v>66</v>
      </c>
      <c r="L9" t="s">
        <v>37</v>
      </c>
      <c r="M9">
        <v>14</v>
      </c>
      <c r="N9" t="s">
        <v>27</v>
      </c>
      <c r="O9" t="str">
        <f t="shared" si="0"/>
        <v>2025-01</v>
      </c>
      <c r="P9" t="str">
        <f t="shared" si="1"/>
        <v>Medium</v>
      </c>
      <c r="Q9" t="str">
        <f t="shared" si="2"/>
        <v>No</v>
      </c>
      <c r="R9" s="10">
        <f t="shared" si="3"/>
        <v>0</v>
      </c>
    </row>
    <row r="10" spans="1:19">
      <c r="A10" t="s">
        <v>1043</v>
      </c>
      <c r="B10" t="s">
        <v>1044</v>
      </c>
      <c r="C10" t="s">
        <v>1045</v>
      </c>
      <c r="D10" t="s">
        <v>41</v>
      </c>
      <c r="E10" t="s">
        <v>34</v>
      </c>
      <c r="F10" t="s">
        <v>35</v>
      </c>
      <c r="G10" s="7">
        <v>45695</v>
      </c>
      <c r="H10">
        <v>24</v>
      </c>
      <c r="I10">
        <v>0</v>
      </c>
      <c r="J10" t="s">
        <v>36</v>
      </c>
      <c r="K10" t="s">
        <v>66</v>
      </c>
      <c r="L10" t="s">
        <v>37</v>
      </c>
      <c r="M10">
        <v>45</v>
      </c>
      <c r="N10" t="s">
        <v>27</v>
      </c>
      <c r="O10" t="str">
        <f t="shared" si="0"/>
        <v>2025-02</v>
      </c>
      <c r="P10" t="str">
        <f t="shared" si="1"/>
        <v>Medium</v>
      </c>
      <c r="Q10" t="str">
        <f t="shared" si="2"/>
        <v>No</v>
      </c>
      <c r="R10" s="10">
        <f t="shared" si="3"/>
        <v>0</v>
      </c>
    </row>
    <row r="11" spans="1:19">
      <c r="A11" t="s">
        <v>755</v>
      </c>
      <c r="B11" t="s">
        <v>756</v>
      </c>
      <c r="C11" t="s">
        <v>757</v>
      </c>
      <c r="D11" t="s">
        <v>21</v>
      </c>
      <c r="E11" t="s">
        <v>34</v>
      </c>
      <c r="F11" t="s">
        <v>58</v>
      </c>
      <c r="G11" s="7">
        <v>45791</v>
      </c>
      <c r="H11">
        <v>138</v>
      </c>
      <c r="I11">
        <v>0</v>
      </c>
      <c r="J11" t="s">
        <v>36</v>
      </c>
      <c r="K11" t="s">
        <v>66</v>
      </c>
      <c r="L11" t="s">
        <v>37</v>
      </c>
      <c r="M11">
        <v>48</v>
      </c>
      <c r="N11" t="s">
        <v>27</v>
      </c>
      <c r="O11" t="str">
        <f t="shared" si="0"/>
        <v>2025-05</v>
      </c>
      <c r="P11" t="str">
        <f t="shared" si="1"/>
        <v>High</v>
      </c>
      <c r="Q11" t="str">
        <f t="shared" si="2"/>
        <v>No</v>
      </c>
      <c r="R11" s="10">
        <f t="shared" si="3"/>
        <v>0</v>
      </c>
    </row>
    <row r="12" spans="1:19">
      <c r="A12" t="s">
        <v>1046</v>
      </c>
      <c r="B12" t="s">
        <v>1047</v>
      </c>
      <c r="C12" t="s">
        <v>1048</v>
      </c>
      <c r="D12" t="s">
        <v>62</v>
      </c>
      <c r="E12" t="s">
        <v>42</v>
      </c>
      <c r="F12" t="s">
        <v>58</v>
      </c>
      <c r="G12" s="7">
        <v>45756</v>
      </c>
      <c r="H12">
        <v>26</v>
      </c>
      <c r="I12">
        <v>0</v>
      </c>
      <c r="J12" t="s">
        <v>36</v>
      </c>
      <c r="K12" t="s">
        <v>45</v>
      </c>
      <c r="L12" t="s">
        <v>37</v>
      </c>
      <c r="M12">
        <v>27</v>
      </c>
      <c r="N12" t="s">
        <v>27</v>
      </c>
      <c r="O12" t="str">
        <f t="shared" si="0"/>
        <v>2025-04</v>
      </c>
      <c r="P12" t="str">
        <f t="shared" si="1"/>
        <v>Medium</v>
      </c>
      <c r="Q12" t="str">
        <f t="shared" si="2"/>
        <v>No</v>
      </c>
      <c r="R12" s="10">
        <f t="shared" si="3"/>
        <v>0</v>
      </c>
    </row>
    <row r="13" spans="1:19">
      <c r="A13" t="s">
        <v>615</v>
      </c>
      <c r="B13" t="s">
        <v>616</v>
      </c>
      <c r="C13" t="s">
        <v>617</v>
      </c>
      <c r="D13" t="s">
        <v>21</v>
      </c>
      <c r="E13" t="s">
        <v>34</v>
      </c>
      <c r="F13" t="s">
        <v>58</v>
      </c>
      <c r="G13" s="7">
        <v>45768</v>
      </c>
      <c r="H13">
        <v>142</v>
      </c>
      <c r="I13">
        <v>0</v>
      </c>
      <c r="J13" t="s">
        <v>36</v>
      </c>
      <c r="K13" t="s">
        <v>25</v>
      </c>
      <c r="L13" t="s">
        <v>37</v>
      </c>
      <c r="M13">
        <v>23</v>
      </c>
      <c r="N13" t="s">
        <v>27</v>
      </c>
      <c r="O13" t="str">
        <f t="shared" si="0"/>
        <v>2025-04</v>
      </c>
      <c r="P13" t="str">
        <f t="shared" si="1"/>
        <v>High</v>
      </c>
      <c r="Q13" t="str">
        <f t="shared" si="2"/>
        <v>No</v>
      </c>
      <c r="R13" s="10">
        <f t="shared" si="3"/>
        <v>0</v>
      </c>
    </row>
    <row r="14" spans="1:19">
      <c r="A14" t="s">
        <v>479</v>
      </c>
      <c r="B14" t="s">
        <v>480</v>
      </c>
      <c r="C14" t="s">
        <v>481</v>
      </c>
      <c r="D14" t="s">
        <v>62</v>
      </c>
      <c r="E14" t="s">
        <v>22</v>
      </c>
      <c r="F14" t="s">
        <v>80</v>
      </c>
      <c r="G14" s="7">
        <v>45724</v>
      </c>
      <c r="H14">
        <v>100</v>
      </c>
      <c r="I14">
        <v>0</v>
      </c>
      <c r="J14" t="s">
        <v>36</v>
      </c>
      <c r="K14" t="s">
        <v>25</v>
      </c>
      <c r="L14" t="s">
        <v>37</v>
      </c>
      <c r="M14">
        <v>36</v>
      </c>
      <c r="N14" t="s">
        <v>27</v>
      </c>
      <c r="O14" t="str">
        <f t="shared" si="0"/>
        <v>2025-03</v>
      </c>
      <c r="P14" t="str">
        <f t="shared" si="1"/>
        <v>High</v>
      </c>
      <c r="Q14" t="str">
        <f t="shared" si="2"/>
        <v>No</v>
      </c>
      <c r="R14" s="10">
        <f t="shared" si="3"/>
        <v>0</v>
      </c>
    </row>
    <row r="15" spans="1:19">
      <c r="A15" t="s">
        <v>761</v>
      </c>
      <c r="B15" t="s">
        <v>762</v>
      </c>
      <c r="C15" t="s">
        <v>763</v>
      </c>
      <c r="D15" t="s">
        <v>57</v>
      </c>
      <c r="E15" t="s">
        <v>34</v>
      </c>
      <c r="F15" t="s">
        <v>35</v>
      </c>
      <c r="G15" s="7">
        <v>45794</v>
      </c>
      <c r="H15">
        <v>78</v>
      </c>
      <c r="I15">
        <v>0</v>
      </c>
      <c r="J15" t="s">
        <v>36</v>
      </c>
      <c r="K15" t="s">
        <v>25</v>
      </c>
      <c r="L15" t="s">
        <v>37</v>
      </c>
      <c r="M15">
        <v>35</v>
      </c>
      <c r="N15" t="s">
        <v>27</v>
      </c>
      <c r="O15" t="str">
        <f t="shared" si="0"/>
        <v>2025-05</v>
      </c>
      <c r="P15" t="str">
        <f t="shared" si="1"/>
        <v>High</v>
      </c>
      <c r="Q15" t="str">
        <f t="shared" si="2"/>
        <v>No</v>
      </c>
      <c r="R15" s="10">
        <f t="shared" si="3"/>
        <v>0</v>
      </c>
    </row>
    <row r="16" spans="1:19">
      <c r="A16" t="s">
        <v>482</v>
      </c>
      <c r="B16" t="s">
        <v>483</v>
      </c>
      <c r="C16" t="s">
        <v>484</v>
      </c>
      <c r="D16" t="s">
        <v>49</v>
      </c>
      <c r="E16" t="s">
        <v>34</v>
      </c>
      <c r="F16" t="s">
        <v>73</v>
      </c>
      <c r="G16" s="7">
        <v>45719</v>
      </c>
      <c r="H16">
        <v>151</v>
      </c>
      <c r="I16">
        <v>0</v>
      </c>
      <c r="J16" t="s">
        <v>36</v>
      </c>
      <c r="K16" t="s">
        <v>25</v>
      </c>
      <c r="L16" t="s">
        <v>37</v>
      </c>
      <c r="M16">
        <v>47</v>
      </c>
      <c r="N16" t="s">
        <v>30</v>
      </c>
      <c r="O16" t="str">
        <f t="shared" si="0"/>
        <v>2025-03</v>
      </c>
      <c r="P16" t="str">
        <f t="shared" si="1"/>
        <v>High</v>
      </c>
      <c r="Q16" t="str">
        <f t="shared" si="2"/>
        <v>No</v>
      </c>
      <c r="R16" s="10">
        <f t="shared" si="3"/>
        <v>1</v>
      </c>
    </row>
    <row r="17" spans="1:18">
      <c r="A17" t="s">
        <v>158</v>
      </c>
      <c r="B17" t="s">
        <v>159</v>
      </c>
      <c r="C17" t="s">
        <v>160</v>
      </c>
      <c r="D17" t="s">
        <v>57</v>
      </c>
      <c r="E17" t="s">
        <v>22</v>
      </c>
      <c r="F17" t="s">
        <v>35</v>
      </c>
      <c r="G17" s="7">
        <v>45664</v>
      </c>
      <c r="H17">
        <v>163</v>
      </c>
      <c r="I17">
        <v>0</v>
      </c>
      <c r="J17" t="s">
        <v>36</v>
      </c>
      <c r="K17" t="s">
        <v>25</v>
      </c>
      <c r="L17" t="s">
        <v>37</v>
      </c>
      <c r="M17">
        <v>50</v>
      </c>
      <c r="N17" t="s">
        <v>30</v>
      </c>
      <c r="O17" t="str">
        <f t="shared" si="0"/>
        <v>2025-01</v>
      </c>
      <c r="P17" t="str">
        <f t="shared" si="1"/>
        <v>High</v>
      </c>
      <c r="Q17" t="str">
        <f t="shared" si="2"/>
        <v>No</v>
      </c>
      <c r="R17" s="10">
        <f t="shared" si="3"/>
        <v>1</v>
      </c>
    </row>
    <row r="18" spans="1:18">
      <c r="A18" t="s">
        <v>161</v>
      </c>
      <c r="B18" t="s">
        <v>162</v>
      </c>
      <c r="C18" t="s">
        <v>163</v>
      </c>
      <c r="D18" t="s">
        <v>57</v>
      </c>
      <c r="E18" t="s">
        <v>34</v>
      </c>
      <c r="F18" t="s">
        <v>35</v>
      </c>
      <c r="G18" s="7">
        <v>45681</v>
      </c>
      <c r="H18">
        <v>128</v>
      </c>
      <c r="I18">
        <v>0</v>
      </c>
      <c r="J18" t="s">
        <v>36</v>
      </c>
      <c r="K18" t="s">
        <v>53</v>
      </c>
      <c r="L18" t="s">
        <v>37</v>
      </c>
      <c r="M18">
        <v>7</v>
      </c>
      <c r="N18" t="s">
        <v>27</v>
      </c>
      <c r="O18" t="str">
        <f t="shared" si="0"/>
        <v>2025-01</v>
      </c>
      <c r="P18" t="str">
        <f t="shared" si="1"/>
        <v>High</v>
      </c>
      <c r="Q18" t="str">
        <f t="shared" si="2"/>
        <v>No</v>
      </c>
      <c r="R18" s="10">
        <f t="shared" si="3"/>
        <v>0</v>
      </c>
    </row>
    <row r="19" spans="1:18">
      <c r="A19" t="s">
        <v>164</v>
      </c>
      <c r="B19" t="s">
        <v>165</v>
      </c>
      <c r="C19" t="s">
        <v>166</v>
      </c>
      <c r="D19" t="s">
        <v>49</v>
      </c>
      <c r="E19" t="s">
        <v>42</v>
      </c>
      <c r="F19" t="s">
        <v>43</v>
      </c>
      <c r="G19" s="7">
        <v>45685</v>
      </c>
      <c r="H19">
        <v>173</v>
      </c>
      <c r="I19">
        <v>0</v>
      </c>
      <c r="J19" t="s">
        <v>36</v>
      </c>
      <c r="K19" t="s">
        <v>66</v>
      </c>
      <c r="L19" t="s">
        <v>37</v>
      </c>
      <c r="M19">
        <v>30</v>
      </c>
      <c r="N19" t="s">
        <v>30</v>
      </c>
      <c r="O19" t="str">
        <f t="shared" si="0"/>
        <v>2025-01</v>
      </c>
      <c r="P19" t="str">
        <f t="shared" si="1"/>
        <v>High</v>
      </c>
      <c r="Q19" t="str">
        <f t="shared" si="2"/>
        <v>No</v>
      </c>
      <c r="R19" s="10">
        <f t="shared" si="3"/>
        <v>1</v>
      </c>
    </row>
    <row r="20" spans="1:18">
      <c r="A20" t="s">
        <v>1049</v>
      </c>
      <c r="B20" t="s">
        <v>1050</v>
      </c>
      <c r="C20" t="s">
        <v>1051</v>
      </c>
      <c r="D20" t="s">
        <v>62</v>
      </c>
      <c r="E20" t="s">
        <v>22</v>
      </c>
      <c r="F20" t="s">
        <v>58</v>
      </c>
      <c r="G20" s="7">
        <v>45769</v>
      </c>
      <c r="H20">
        <v>49</v>
      </c>
      <c r="I20">
        <v>0</v>
      </c>
      <c r="J20" t="s">
        <v>36</v>
      </c>
      <c r="K20" t="s">
        <v>66</v>
      </c>
      <c r="L20" t="s">
        <v>37</v>
      </c>
      <c r="M20">
        <v>47</v>
      </c>
      <c r="N20" t="s">
        <v>27</v>
      </c>
      <c r="O20" t="str">
        <f t="shared" si="0"/>
        <v>2025-04</v>
      </c>
      <c r="P20" t="str">
        <f t="shared" si="1"/>
        <v>Medium</v>
      </c>
      <c r="Q20" t="str">
        <f t="shared" si="2"/>
        <v>No</v>
      </c>
      <c r="R20" s="10">
        <f t="shared" si="3"/>
        <v>0</v>
      </c>
    </row>
    <row r="21" spans="1:18">
      <c r="A21" t="s">
        <v>355</v>
      </c>
      <c r="B21" t="s">
        <v>356</v>
      </c>
      <c r="C21" t="s">
        <v>357</v>
      </c>
      <c r="D21" t="s">
        <v>21</v>
      </c>
      <c r="E21" t="s">
        <v>22</v>
      </c>
      <c r="F21" t="s">
        <v>23</v>
      </c>
      <c r="G21" s="7">
        <v>45702</v>
      </c>
      <c r="H21">
        <v>94</v>
      </c>
      <c r="I21">
        <v>0</v>
      </c>
      <c r="J21" t="s">
        <v>36</v>
      </c>
      <c r="K21" t="s">
        <v>45</v>
      </c>
      <c r="L21" t="s">
        <v>37</v>
      </c>
      <c r="M21">
        <v>48</v>
      </c>
      <c r="N21" t="s">
        <v>27</v>
      </c>
      <c r="O21" t="str">
        <f t="shared" si="0"/>
        <v>2025-02</v>
      </c>
      <c r="P21" t="str">
        <f t="shared" si="1"/>
        <v>High</v>
      </c>
      <c r="Q21" t="str">
        <f t="shared" si="2"/>
        <v>No</v>
      </c>
      <c r="R21" s="10">
        <f t="shared" si="3"/>
        <v>0</v>
      </c>
    </row>
    <row r="22" spans="1:18">
      <c r="A22" t="s">
        <v>767</v>
      </c>
      <c r="B22" t="s">
        <v>768</v>
      </c>
      <c r="C22" t="s">
        <v>769</v>
      </c>
      <c r="D22" t="s">
        <v>57</v>
      </c>
      <c r="E22" t="s">
        <v>34</v>
      </c>
      <c r="F22" t="s">
        <v>43</v>
      </c>
      <c r="G22" s="7">
        <v>45808</v>
      </c>
      <c r="H22">
        <v>168</v>
      </c>
      <c r="I22">
        <v>0</v>
      </c>
      <c r="J22" t="s">
        <v>36</v>
      </c>
      <c r="K22" t="s">
        <v>25</v>
      </c>
      <c r="L22" t="s">
        <v>37</v>
      </c>
      <c r="M22">
        <v>33</v>
      </c>
      <c r="N22" t="s">
        <v>30</v>
      </c>
      <c r="O22" t="str">
        <f t="shared" si="0"/>
        <v>2025-05</v>
      </c>
      <c r="P22" t="str">
        <f t="shared" si="1"/>
        <v>High</v>
      </c>
      <c r="Q22" t="str">
        <f t="shared" si="2"/>
        <v>No</v>
      </c>
      <c r="R22" s="10">
        <f t="shared" si="3"/>
        <v>1</v>
      </c>
    </row>
    <row r="23" spans="1:18">
      <c r="A23" t="s">
        <v>770</v>
      </c>
      <c r="B23" t="s">
        <v>771</v>
      </c>
      <c r="C23" t="s">
        <v>772</v>
      </c>
      <c r="D23" t="s">
        <v>41</v>
      </c>
      <c r="E23" t="s">
        <v>42</v>
      </c>
      <c r="F23" t="s">
        <v>58</v>
      </c>
      <c r="G23" s="7">
        <v>45790</v>
      </c>
      <c r="H23">
        <v>86</v>
      </c>
      <c r="I23">
        <v>0</v>
      </c>
      <c r="J23" t="s">
        <v>36</v>
      </c>
      <c r="K23" t="s">
        <v>25</v>
      </c>
      <c r="L23" t="s">
        <v>37</v>
      </c>
      <c r="M23">
        <v>34</v>
      </c>
      <c r="N23" t="s">
        <v>27</v>
      </c>
      <c r="O23" t="str">
        <f t="shared" si="0"/>
        <v>2025-05</v>
      </c>
      <c r="P23" t="str">
        <f t="shared" si="1"/>
        <v>High</v>
      </c>
      <c r="Q23" t="str">
        <f t="shared" si="2"/>
        <v>No</v>
      </c>
      <c r="R23" s="10">
        <f t="shared" si="3"/>
        <v>0</v>
      </c>
    </row>
    <row r="24" spans="1:18">
      <c r="A24" t="s">
        <v>1052</v>
      </c>
      <c r="B24" t="s">
        <v>1053</v>
      </c>
      <c r="C24" t="s">
        <v>1054</v>
      </c>
      <c r="D24" t="s">
        <v>21</v>
      </c>
      <c r="E24" t="s">
        <v>42</v>
      </c>
      <c r="F24" t="s">
        <v>58</v>
      </c>
      <c r="G24" s="7">
        <v>45738</v>
      </c>
      <c r="H24">
        <v>58</v>
      </c>
      <c r="I24">
        <v>0</v>
      </c>
      <c r="J24" t="s">
        <v>36</v>
      </c>
      <c r="K24" t="s">
        <v>25</v>
      </c>
      <c r="L24" t="s">
        <v>37</v>
      </c>
      <c r="M24">
        <v>37</v>
      </c>
      <c r="N24" t="s">
        <v>27</v>
      </c>
      <c r="O24" t="str">
        <f t="shared" si="0"/>
        <v>2025-03</v>
      </c>
      <c r="P24" t="str">
        <f t="shared" si="1"/>
        <v>Medium</v>
      </c>
      <c r="Q24" t="str">
        <f t="shared" si="2"/>
        <v>No</v>
      </c>
      <c r="R24" s="10">
        <f t="shared" si="3"/>
        <v>0</v>
      </c>
    </row>
    <row r="25" spans="1:18">
      <c r="A25" t="s">
        <v>485</v>
      </c>
      <c r="B25" t="s">
        <v>486</v>
      </c>
      <c r="C25" t="s">
        <v>487</v>
      </c>
      <c r="D25" t="s">
        <v>62</v>
      </c>
      <c r="E25" t="s">
        <v>34</v>
      </c>
      <c r="F25" t="s">
        <v>73</v>
      </c>
      <c r="G25" s="7">
        <v>45740</v>
      </c>
      <c r="H25">
        <v>121</v>
      </c>
      <c r="I25">
        <v>7.28</v>
      </c>
      <c r="J25" t="s">
        <v>24</v>
      </c>
      <c r="K25" t="s">
        <v>25</v>
      </c>
      <c r="L25" t="s">
        <v>26</v>
      </c>
      <c r="M25">
        <v>34</v>
      </c>
      <c r="N25" t="s">
        <v>27</v>
      </c>
      <c r="O25" t="str">
        <f t="shared" si="0"/>
        <v>2025-03</v>
      </c>
      <c r="P25" t="str">
        <f t="shared" si="1"/>
        <v>High</v>
      </c>
      <c r="Q25" t="str">
        <f t="shared" si="2"/>
        <v>Yes</v>
      </c>
      <c r="R25" s="10">
        <f t="shared" si="3"/>
        <v>0</v>
      </c>
    </row>
    <row r="26" spans="1:18">
      <c r="A26" t="s">
        <v>1055</v>
      </c>
      <c r="B26" t="s">
        <v>1056</v>
      </c>
      <c r="C26" t="s">
        <v>1057</v>
      </c>
      <c r="D26" t="s">
        <v>21</v>
      </c>
      <c r="E26" t="s">
        <v>34</v>
      </c>
      <c r="F26" t="s">
        <v>80</v>
      </c>
      <c r="G26" s="7">
        <v>45781</v>
      </c>
      <c r="H26">
        <v>51</v>
      </c>
      <c r="I26">
        <v>0</v>
      </c>
      <c r="J26" t="s">
        <v>36</v>
      </c>
      <c r="K26" t="s">
        <v>45</v>
      </c>
      <c r="L26" t="s">
        <v>37</v>
      </c>
      <c r="M26">
        <v>41</v>
      </c>
      <c r="N26" t="s">
        <v>27</v>
      </c>
      <c r="O26" t="str">
        <f t="shared" si="0"/>
        <v>2025-05</v>
      </c>
      <c r="P26" t="str">
        <f t="shared" si="1"/>
        <v>Medium</v>
      </c>
      <c r="Q26" t="str">
        <f t="shared" si="2"/>
        <v>No</v>
      </c>
      <c r="R26" s="10">
        <f t="shared" si="3"/>
        <v>0</v>
      </c>
    </row>
    <row r="27" spans="1:18">
      <c r="A27" t="s">
        <v>491</v>
      </c>
      <c r="B27" t="s">
        <v>492</v>
      </c>
      <c r="C27" t="s">
        <v>493</v>
      </c>
      <c r="D27" t="s">
        <v>49</v>
      </c>
      <c r="E27" t="s">
        <v>34</v>
      </c>
      <c r="F27" t="s">
        <v>43</v>
      </c>
      <c r="G27" s="7">
        <v>45741</v>
      </c>
      <c r="H27">
        <v>96</v>
      </c>
      <c r="I27">
        <v>0</v>
      </c>
      <c r="J27" t="s">
        <v>36</v>
      </c>
      <c r="K27" t="s">
        <v>25</v>
      </c>
      <c r="L27" t="s">
        <v>26</v>
      </c>
      <c r="M27">
        <v>17</v>
      </c>
      <c r="N27" t="s">
        <v>27</v>
      </c>
      <c r="O27" t="str">
        <f t="shared" si="0"/>
        <v>2025-03</v>
      </c>
      <c r="P27" t="str">
        <f t="shared" si="1"/>
        <v>High</v>
      </c>
      <c r="Q27" t="str">
        <f t="shared" si="2"/>
        <v>No</v>
      </c>
      <c r="R27" s="10">
        <f t="shared" si="3"/>
        <v>0</v>
      </c>
    </row>
    <row r="28" spans="1:18">
      <c r="A28" t="s">
        <v>773</v>
      </c>
      <c r="B28" t="s">
        <v>774</v>
      </c>
      <c r="C28" t="s">
        <v>775</v>
      </c>
      <c r="D28" t="s">
        <v>49</v>
      </c>
      <c r="E28" t="s">
        <v>22</v>
      </c>
      <c r="F28" t="s">
        <v>43</v>
      </c>
      <c r="G28" s="7">
        <v>45779</v>
      </c>
      <c r="H28">
        <v>173</v>
      </c>
      <c r="I28">
        <v>0</v>
      </c>
      <c r="J28" t="s">
        <v>36</v>
      </c>
      <c r="K28" t="s">
        <v>25</v>
      </c>
      <c r="L28" t="s">
        <v>37</v>
      </c>
      <c r="M28">
        <v>8</v>
      </c>
      <c r="N28" t="s">
        <v>30</v>
      </c>
      <c r="O28" t="str">
        <f t="shared" si="0"/>
        <v>2025-05</v>
      </c>
      <c r="P28" t="str">
        <f t="shared" si="1"/>
        <v>High</v>
      </c>
      <c r="Q28" t="str">
        <f t="shared" si="2"/>
        <v>No</v>
      </c>
      <c r="R28" s="10">
        <f t="shared" si="3"/>
        <v>1</v>
      </c>
    </row>
    <row r="29" spans="1:18">
      <c r="A29" t="s">
        <v>358</v>
      </c>
      <c r="B29" t="s">
        <v>359</v>
      </c>
      <c r="C29" t="s">
        <v>360</v>
      </c>
      <c r="D29" t="s">
        <v>62</v>
      </c>
      <c r="E29" t="s">
        <v>22</v>
      </c>
      <c r="F29" t="s">
        <v>43</v>
      </c>
      <c r="G29" s="7">
        <v>45692</v>
      </c>
      <c r="H29">
        <v>105</v>
      </c>
      <c r="I29">
        <v>0</v>
      </c>
      <c r="J29" t="s">
        <v>36</v>
      </c>
      <c r="K29" t="s">
        <v>25</v>
      </c>
      <c r="L29" t="s">
        <v>37</v>
      </c>
      <c r="M29">
        <v>11</v>
      </c>
      <c r="N29" t="s">
        <v>27</v>
      </c>
      <c r="O29" t="str">
        <f t="shared" si="0"/>
        <v>2025-02</v>
      </c>
      <c r="P29" t="str">
        <f t="shared" si="1"/>
        <v>High</v>
      </c>
      <c r="Q29" t="str">
        <f t="shared" si="2"/>
        <v>No</v>
      </c>
      <c r="R29" s="10">
        <f t="shared" si="3"/>
        <v>0</v>
      </c>
    </row>
    <row r="30" spans="1:18">
      <c r="A30" t="s">
        <v>1058</v>
      </c>
      <c r="B30" t="s">
        <v>1059</v>
      </c>
      <c r="C30" t="s">
        <v>1060</v>
      </c>
      <c r="D30" t="s">
        <v>41</v>
      </c>
      <c r="E30" t="s">
        <v>42</v>
      </c>
      <c r="F30" t="s">
        <v>43</v>
      </c>
      <c r="G30" s="7">
        <v>45763</v>
      </c>
      <c r="H30">
        <v>16</v>
      </c>
      <c r="I30">
        <v>0</v>
      </c>
      <c r="J30" t="s">
        <v>36</v>
      </c>
      <c r="K30" t="s">
        <v>25</v>
      </c>
      <c r="L30" t="s">
        <v>37</v>
      </c>
      <c r="M30">
        <v>26</v>
      </c>
      <c r="N30" t="s">
        <v>27</v>
      </c>
      <c r="O30" t="str">
        <f t="shared" si="0"/>
        <v>2025-04</v>
      </c>
      <c r="P30" t="str">
        <f t="shared" si="1"/>
        <v>Low</v>
      </c>
      <c r="Q30" t="str">
        <f t="shared" si="2"/>
        <v>No</v>
      </c>
      <c r="R30" s="10">
        <f t="shared" si="3"/>
        <v>0</v>
      </c>
    </row>
    <row r="31" spans="1:18">
      <c r="A31" t="s">
        <v>965</v>
      </c>
      <c r="B31" t="s">
        <v>966</v>
      </c>
      <c r="C31" t="s">
        <v>967</v>
      </c>
      <c r="D31" t="s">
        <v>62</v>
      </c>
      <c r="E31" t="s">
        <v>22</v>
      </c>
      <c r="F31" t="s">
        <v>80</v>
      </c>
      <c r="G31" s="7">
        <v>45818</v>
      </c>
      <c r="H31">
        <v>135</v>
      </c>
      <c r="I31">
        <v>0</v>
      </c>
      <c r="J31" t="s">
        <v>36</v>
      </c>
      <c r="K31" t="s">
        <v>25</v>
      </c>
      <c r="L31" t="s">
        <v>37</v>
      </c>
      <c r="M31">
        <v>12</v>
      </c>
      <c r="N31" t="s">
        <v>27</v>
      </c>
      <c r="O31" t="str">
        <f t="shared" si="0"/>
        <v>2025-06</v>
      </c>
      <c r="P31" t="str">
        <f t="shared" si="1"/>
        <v>High</v>
      </c>
      <c r="Q31" t="str">
        <f t="shared" si="2"/>
        <v>No</v>
      </c>
      <c r="R31" s="10">
        <f t="shared" si="3"/>
        <v>0</v>
      </c>
    </row>
    <row r="32" spans="1:18">
      <c r="A32" t="s">
        <v>361</v>
      </c>
      <c r="B32" t="s">
        <v>362</v>
      </c>
      <c r="C32" t="s">
        <v>363</v>
      </c>
      <c r="D32" t="s">
        <v>49</v>
      </c>
      <c r="E32" t="s">
        <v>22</v>
      </c>
      <c r="F32" t="s">
        <v>43</v>
      </c>
      <c r="G32" s="7">
        <v>45694</v>
      </c>
      <c r="H32">
        <v>96</v>
      </c>
      <c r="I32">
        <v>0</v>
      </c>
      <c r="J32" t="s">
        <v>36</v>
      </c>
      <c r="K32" t="s">
        <v>25</v>
      </c>
      <c r="L32" t="s">
        <v>37</v>
      </c>
      <c r="M32">
        <v>43</v>
      </c>
      <c r="N32" t="s">
        <v>27</v>
      </c>
      <c r="O32" t="str">
        <f t="shared" si="0"/>
        <v>2025-02</v>
      </c>
      <c r="P32" t="str">
        <f t="shared" si="1"/>
        <v>High</v>
      </c>
      <c r="Q32" t="str">
        <f t="shared" si="2"/>
        <v>No</v>
      </c>
      <c r="R32" s="10">
        <f t="shared" si="3"/>
        <v>0</v>
      </c>
    </row>
    <row r="33" spans="1:18">
      <c r="A33" t="s">
        <v>1061</v>
      </c>
      <c r="B33" t="s">
        <v>1062</v>
      </c>
      <c r="C33" t="s">
        <v>1063</v>
      </c>
      <c r="D33" t="s">
        <v>62</v>
      </c>
      <c r="E33" t="s">
        <v>34</v>
      </c>
      <c r="F33" t="s">
        <v>43</v>
      </c>
      <c r="G33" s="7">
        <v>45708</v>
      </c>
      <c r="H33">
        <v>16</v>
      </c>
      <c r="I33">
        <v>0</v>
      </c>
      <c r="J33" t="s">
        <v>36</v>
      </c>
      <c r="K33" t="s">
        <v>25</v>
      </c>
      <c r="L33" t="s">
        <v>37</v>
      </c>
      <c r="M33">
        <v>16</v>
      </c>
      <c r="N33" t="s">
        <v>27</v>
      </c>
      <c r="O33" t="str">
        <f t="shared" si="0"/>
        <v>2025-02</v>
      </c>
      <c r="P33" t="str">
        <f t="shared" si="1"/>
        <v>Low</v>
      </c>
      <c r="Q33" t="str">
        <f t="shared" si="2"/>
        <v>No</v>
      </c>
      <c r="R33" s="10">
        <f t="shared" si="3"/>
        <v>0</v>
      </c>
    </row>
    <row r="34" spans="1:18">
      <c r="A34" t="s">
        <v>364</v>
      </c>
      <c r="B34" t="s">
        <v>365</v>
      </c>
      <c r="C34" t="s">
        <v>366</v>
      </c>
      <c r="D34" t="s">
        <v>41</v>
      </c>
      <c r="E34" t="s">
        <v>34</v>
      </c>
      <c r="F34" t="s">
        <v>43</v>
      </c>
      <c r="G34" s="7">
        <v>45696</v>
      </c>
      <c r="H34">
        <v>165</v>
      </c>
      <c r="I34">
        <v>0</v>
      </c>
      <c r="J34" t="s">
        <v>36</v>
      </c>
      <c r="K34" t="s">
        <v>25</v>
      </c>
      <c r="L34" t="s">
        <v>37</v>
      </c>
      <c r="M34">
        <v>23</v>
      </c>
      <c r="N34" t="s">
        <v>30</v>
      </c>
      <c r="O34" t="str">
        <f t="shared" si="0"/>
        <v>2025-02</v>
      </c>
      <c r="P34" t="str">
        <f t="shared" si="1"/>
        <v>High</v>
      </c>
      <c r="Q34" t="str">
        <f t="shared" si="2"/>
        <v>No</v>
      </c>
      <c r="R34" s="10">
        <f t="shared" si="3"/>
        <v>1</v>
      </c>
    </row>
    <row r="35" spans="1:18">
      <c r="A35" t="s">
        <v>1064</v>
      </c>
      <c r="B35" t="s">
        <v>1065</v>
      </c>
      <c r="C35" t="s">
        <v>1066</v>
      </c>
      <c r="D35" t="s">
        <v>62</v>
      </c>
      <c r="E35" t="s">
        <v>34</v>
      </c>
      <c r="F35" t="s">
        <v>80</v>
      </c>
      <c r="G35" s="7">
        <v>45797</v>
      </c>
      <c r="H35">
        <v>25</v>
      </c>
      <c r="I35">
        <v>0</v>
      </c>
      <c r="J35" t="s">
        <v>36</v>
      </c>
      <c r="K35" t="s">
        <v>45</v>
      </c>
      <c r="L35" t="s">
        <v>37</v>
      </c>
      <c r="M35">
        <v>26</v>
      </c>
      <c r="N35" t="s">
        <v>27</v>
      </c>
      <c r="O35" t="str">
        <f t="shared" si="0"/>
        <v>2025-05</v>
      </c>
      <c r="P35" t="str">
        <f t="shared" si="1"/>
        <v>Medium</v>
      </c>
      <c r="Q35" t="str">
        <f t="shared" si="2"/>
        <v>No</v>
      </c>
      <c r="R35" s="10">
        <f t="shared" si="3"/>
        <v>0</v>
      </c>
    </row>
    <row r="36" spans="1:18">
      <c r="A36" t="s">
        <v>497</v>
      </c>
      <c r="B36" t="s">
        <v>498</v>
      </c>
      <c r="C36" t="s">
        <v>499</v>
      </c>
      <c r="D36" t="s">
        <v>62</v>
      </c>
      <c r="E36" t="s">
        <v>34</v>
      </c>
      <c r="F36" t="s">
        <v>80</v>
      </c>
      <c r="G36" s="7">
        <v>45729</v>
      </c>
      <c r="H36">
        <v>140</v>
      </c>
      <c r="I36">
        <v>0</v>
      </c>
      <c r="J36" t="s">
        <v>36</v>
      </c>
      <c r="K36" t="s">
        <v>25</v>
      </c>
      <c r="L36" t="s">
        <v>37</v>
      </c>
      <c r="M36">
        <v>26</v>
      </c>
      <c r="N36" t="s">
        <v>27</v>
      </c>
      <c r="O36" t="str">
        <f t="shared" si="0"/>
        <v>2025-03</v>
      </c>
      <c r="P36" t="str">
        <f t="shared" si="1"/>
        <v>High</v>
      </c>
      <c r="Q36" t="str">
        <f t="shared" si="2"/>
        <v>No</v>
      </c>
      <c r="R36" s="10">
        <f t="shared" si="3"/>
        <v>0</v>
      </c>
    </row>
    <row r="37" spans="1:18">
      <c r="A37" t="s">
        <v>624</v>
      </c>
      <c r="B37" t="s">
        <v>625</v>
      </c>
      <c r="C37" t="s">
        <v>626</v>
      </c>
      <c r="D37" t="s">
        <v>49</v>
      </c>
      <c r="E37" t="s">
        <v>22</v>
      </c>
      <c r="F37" t="s">
        <v>23</v>
      </c>
      <c r="G37" s="7">
        <v>45750</v>
      </c>
      <c r="H37">
        <v>86</v>
      </c>
      <c r="I37">
        <v>0</v>
      </c>
      <c r="J37" t="s">
        <v>36</v>
      </c>
      <c r="K37" t="s">
        <v>25</v>
      </c>
      <c r="L37" t="s">
        <v>37</v>
      </c>
      <c r="M37">
        <v>47</v>
      </c>
      <c r="N37" t="s">
        <v>27</v>
      </c>
      <c r="O37" t="str">
        <f t="shared" si="0"/>
        <v>2025-04</v>
      </c>
      <c r="P37" t="str">
        <f t="shared" si="1"/>
        <v>High</v>
      </c>
      <c r="Q37" t="str">
        <f t="shared" si="2"/>
        <v>No</v>
      </c>
      <c r="R37" s="10">
        <f t="shared" si="3"/>
        <v>0</v>
      </c>
    </row>
    <row r="38" spans="1:18">
      <c r="A38" t="s">
        <v>500</v>
      </c>
      <c r="B38" t="s">
        <v>501</v>
      </c>
      <c r="C38" t="s">
        <v>502</v>
      </c>
      <c r="D38" t="s">
        <v>41</v>
      </c>
      <c r="E38" t="s">
        <v>34</v>
      </c>
      <c r="F38" t="s">
        <v>58</v>
      </c>
      <c r="G38" s="7">
        <v>45721</v>
      </c>
      <c r="H38">
        <v>149</v>
      </c>
      <c r="I38">
        <v>0</v>
      </c>
      <c r="J38" t="s">
        <v>36</v>
      </c>
      <c r="K38" t="s">
        <v>25</v>
      </c>
      <c r="L38" t="s">
        <v>37</v>
      </c>
      <c r="M38">
        <v>48</v>
      </c>
      <c r="N38" t="s">
        <v>27</v>
      </c>
      <c r="O38" t="str">
        <f t="shared" si="0"/>
        <v>2025-03</v>
      </c>
      <c r="P38" t="str">
        <f t="shared" si="1"/>
        <v>High</v>
      </c>
      <c r="Q38" t="str">
        <f t="shared" si="2"/>
        <v>No</v>
      </c>
      <c r="R38" s="10">
        <f t="shared" si="3"/>
        <v>0</v>
      </c>
    </row>
    <row r="39" spans="1:18">
      <c r="A39" t="s">
        <v>779</v>
      </c>
      <c r="B39" t="s">
        <v>780</v>
      </c>
      <c r="C39" t="s">
        <v>781</v>
      </c>
      <c r="D39" t="s">
        <v>57</v>
      </c>
      <c r="E39" t="s">
        <v>42</v>
      </c>
      <c r="F39" t="s">
        <v>23</v>
      </c>
      <c r="G39" s="7">
        <v>45790</v>
      </c>
      <c r="H39">
        <v>121</v>
      </c>
      <c r="I39">
        <v>0</v>
      </c>
      <c r="J39" t="s">
        <v>36</v>
      </c>
      <c r="K39" t="s">
        <v>25</v>
      </c>
      <c r="L39" t="s">
        <v>37</v>
      </c>
      <c r="M39">
        <v>14</v>
      </c>
      <c r="N39" t="s">
        <v>27</v>
      </c>
      <c r="O39" t="str">
        <f t="shared" si="0"/>
        <v>2025-05</v>
      </c>
      <c r="P39" t="str">
        <f t="shared" si="1"/>
        <v>High</v>
      </c>
      <c r="Q39" t="str">
        <f t="shared" si="2"/>
        <v>No</v>
      </c>
      <c r="R39" s="10">
        <f t="shared" si="3"/>
        <v>0</v>
      </c>
    </row>
    <row r="40" spans="1:18">
      <c r="A40" t="s">
        <v>367</v>
      </c>
      <c r="B40" t="s">
        <v>368</v>
      </c>
      <c r="C40" t="s">
        <v>369</v>
      </c>
      <c r="D40" t="s">
        <v>62</v>
      </c>
      <c r="E40" t="s">
        <v>22</v>
      </c>
      <c r="F40" t="s">
        <v>23</v>
      </c>
      <c r="G40" s="7">
        <v>45702</v>
      </c>
      <c r="H40">
        <v>154</v>
      </c>
      <c r="I40">
        <v>0</v>
      </c>
      <c r="J40" t="s">
        <v>36</v>
      </c>
      <c r="K40" t="s">
        <v>25</v>
      </c>
      <c r="L40" t="s">
        <v>37</v>
      </c>
      <c r="M40">
        <v>44</v>
      </c>
      <c r="N40" t="s">
        <v>30</v>
      </c>
      <c r="O40" t="str">
        <f t="shared" si="0"/>
        <v>2025-02</v>
      </c>
      <c r="P40" t="str">
        <f t="shared" si="1"/>
        <v>High</v>
      </c>
      <c r="Q40" t="str">
        <f t="shared" si="2"/>
        <v>No</v>
      </c>
      <c r="R40" s="10">
        <f t="shared" si="3"/>
        <v>1</v>
      </c>
    </row>
    <row r="41" spans="1:18">
      <c r="A41" t="s">
        <v>167</v>
      </c>
      <c r="B41" t="s">
        <v>168</v>
      </c>
      <c r="C41" t="s">
        <v>169</v>
      </c>
      <c r="D41" t="s">
        <v>62</v>
      </c>
      <c r="E41" t="s">
        <v>34</v>
      </c>
      <c r="F41" t="s">
        <v>43</v>
      </c>
      <c r="G41" s="7">
        <v>45673</v>
      </c>
      <c r="H41">
        <v>82</v>
      </c>
      <c r="I41">
        <v>24.1</v>
      </c>
      <c r="J41" t="s">
        <v>129</v>
      </c>
      <c r="K41" t="s">
        <v>25</v>
      </c>
      <c r="L41" t="s">
        <v>26</v>
      </c>
      <c r="M41">
        <v>34</v>
      </c>
      <c r="N41" t="s">
        <v>27</v>
      </c>
      <c r="O41" t="str">
        <f t="shared" si="0"/>
        <v>2025-01</v>
      </c>
      <c r="P41" t="str">
        <f t="shared" si="1"/>
        <v>High</v>
      </c>
      <c r="Q41" t="str">
        <f t="shared" si="2"/>
        <v>Yes</v>
      </c>
      <c r="R41" s="10">
        <f t="shared" si="3"/>
        <v>0</v>
      </c>
    </row>
    <row r="42" spans="1:18">
      <c r="A42" t="s">
        <v>1067</v>
      </c>
      <c r="B42" t="s">
        <v>1068</v>
      </c>
      <c r="C42" t="s">
        <v>1069</v>
      </c>
      <c r="D42" t="s">
        <v>49</v>
      </c>
      <c r="E42" t="s">
        <v>34</v>
      </c>
      <c r="F42" t="s">
        <v>80</v>
      </c>
      <c r="G42" s="7">
        <v>45642</v>
      </c>
      <c r="H42">
        <v>49</v>
      </c>
      <c r="I42">
        <v>0</v>
      </c>
      <c r="J42" t="s">
        <v>36</v>
      </c>
      <c r="K42" t="s">
        <v>25</v>
      </c>
      <c r="L42" t="s">
        <v>37</v>
      </c>
      <c r="M42">
        <v>9</v>
      </c>
      <c r="N42" t="s">
        <v>27</v>
      </c>
      <c r="O42" t="str">
        <f t="shared" si="0"/>
        <v>2024-12</v>
      </c>
      <c r="P42" t="str">
        <f t="shared" si="1"/>
        <v>Medium</v>
      </c>
      <c r="Q42" t="str">
        <f t="shared" si="2"/>
        <v>No</v>
      </c>
      <c r="R42" s="10">
        <f t="shared" si="3"/>
        <v>0</v>
      </c>
    </row>
    <row r="43" spans="1:18">
      <c r="A43" t="s">
        <v>1070</v>
      </c>
      <c r="B43" t="s">
        <v>1071</v>
      </c>
      <c r="C43" t="s">
        <v>1072</v>
      </c>
      <c r="D43" t="s">
        <v>41</v>
      </c>
      <c r="E43" t="s">
        <v>42</v>
      </c>
      <c r="F43" t="s">
        <v>80</v>
      </c>
      <c r="G43" s="7">
        <v>45783</v>
      </c>
      <c r="H43">
        <v>35</v>
      </c>
      <c r="I43">
        <v>0</v>
      </c>
      <c r="J43" t="s">
        <v>36</v>
      </c>
      <c r="K43" t="s">
        <v>25</v>
      </c>
      <c r="L43" t="s">
        <v>26</v>
      </c>
      <c r="M43">
        <v>33</v>
      </c>
      <c r="N43" t="s">
        <v>27</v>
      </c>
      <c r="O43" t="str">
        <f t="shared" si="0"/>
        <v>2025-05</v>
      </c>
      <c r="P43" t="str">
        <f t="shared" si="1"/>
        <v>Medium</v>
      </c>
      <c r="Q43" t="str">
        <f t="shared" si="2"/>
        <v>No</v>
      </c>
      <c r="R43" s="10">
        <f t="shared" si="3"/>
        <v>0</v>
      </c>
    </row>
    <row r="44" spans="1:18">
      <c r="A44" t="s">
        <v>170</v>
      </c>
      <c r="B44" t="s">
        <v>171</v>
      </c>
      <c r="C44" t="s">
        <v>172</v>
      </c>
      <c r="D44" t="s">
        <v>57</v>
      </c>
      <c r="E44" t="s">
        <v>34</v>
      </c>
      <c r="F44" t="s">
        <v>73</v>
      </c>
      <c r="G44" s="7">
        <v>45676</v>
      </c>
      <c r="H44">
        <v>112</v>
      </c>
      <c r="I44">
        <v>30.74</v>
      </c>
      <c r="J44" t="s">
        <v>173</v>
      </c>
      <c r="K44" t="s">
        <v>25</v>
      </c>
      <c r="L44" t="s">
        <v>26</v>
      </c>
      <c r="M44">
        <v>10</v>
      </c>
      <c r="N44" t="s">
        <v>27</v>
      </c>
      <c r="O44" t="str">
        <f t="shared" si="0"/>
        <v>2025-01</v>
      </c>
      <c r="P44" t="str">
        <f t="shared" si="1"/>
        <v>High</v>
      </c>
      <c r="Q44" t="str">
        <f t="shared" si="2"/>
        <v>Yes</v>
      </c>
      <c r="R44" s="10">
        <f t="shared" si="3"/>
        <v>0</v>
      </c>
    </row>
    <row r="45" spans="1:18">
      <c r="A45" t="s">
        <v>373</v>
      </c>
      <c r="B45" t="s">
        <v>374</v>
      </c>
      <c r="C45" t="s">
        <v>375</v>
      </c>
      <c r="D45" t="s">
        <v>57</v>
      </c>
      <c r="E45" t="s">
        <v>42</v>
      </c>
      <c r="F45" t="s">
        <v>73</v>
      </c>
      <c r="G45" s="7">
        <v>45692</v>
      </c>
      <c r="H45">
        <v>67</v>
      </c>
      <c r="I45">
        <v>0</v>
      </c>
      <c r="J45" t="s">
        <v>36</v>
      </c>
      <c r="K45" t="s">
        <v>66</v>
      </c>
      <c r="L45" t="s">
        <v>37</v>
      </c>
      <c r="M45">
        <v>16</v>
      </c>
      <c r="N45" t="s">
        <v>27</v>
      </c>
      <c r="O45" t="str">
        <f t="shared" si="0"/>
        <v>2025-02</v>
      </c>
      <c r="P45" t="str">
        <f t="shared" si="1"/>
        <v>High</v>
      </c>
      <c r="Q45" t="str">
        <f t="shared" si="2"/>
        <v>No</v>
      </c>
      <c r="R45" s="10">
        <f t="shared" si="3"/>
        <v>0</v>
      </c>
    </row>
    <row r="46" spans="1:18">
      <c r="A46" t="s">
        <v>1073</v>
      </c>
      <c r="B46" t="s">
        <v>1074</v>
      </c>
      <c r="C46" t="s">
        <v>1075</v>
      </c>
      <c r="D46" t="s">
        <v>57</v>
      </c>
      <c r="E46" t="s">
        <v>34</v>
      </c>
      <c r="F46" t="s">
        <v>73</v>
      </c>
      <c r="G46" s="7">
        <v>45676</v>
      </c>
      <c r="H46">
        <v>15</v>
      </c>
      <c r="I46">
        <v>0</v>
      </c>
      <c r="J46" t="s">
        <v>36</v>
      </c>
      <c r="K46" t="s">
        <v>45</v>
      </c>
      <c r="L46" t="s">
        <v>37</v>
      </c>
      <c r="M46">
        <v>38</v>
      </c>
      <c r="N46" t="s">
        <v>27</v>
      </c>
      <c r="O46" t="str">
        <f t="shared" si="0"/>
        <v>2025-01</v>
      </c>
      <c r="P46" t="str">
        <f t="shared" si="1"/>
        <v>Low</v>
      </c>
      <c r="Q46" t="str">
        <f t="shared" si="2"/>
        <v>No</v>
      </c>
      <c r="R46" s="10">
        <f t="shared" si="3"/>
        <v>0</v>
      </c>
    </row>
    <row r="47" spans="1:18">
      <c r="A47" t="s">
        <v>1076</v>
      </c>
      <c r="B47" t="s">
        <v>1077</v>
      </c>
      <c r="C47" t="s">
        <v>1078</v>
      </c>
      <c r="D47" t="s">
        <v>62</v>
      </c>
      <c r="E47" t="s">
        <v>42</v>
      </c>
      <c r="F47" t="s">
        <v>80</v>
      </c>
      <c r="G47" s="7">
        <v>45717</v>
      </c>
      <c r="H47">
        <v>8</v>
      </c>
      <c r="I47">
        <v>0</v>
      </c>
      <c r="J47" t="s">
        <v>36</v>
      </c>
      <c r="K47" t="s">
        <v>25</v>
      </c>
      <c r="L47" t="s">
        <v>37</v>
      </c>
      <c r="M47">
        <v>33</v>
      </c>
      <c r="N47" t="s">
        <v>27</v>
      </c>
      <c r="O47" t="str">
        <f t="shared" si="0"/>
        <v>2025-03</v>
      </c>
      <c r="P47" t="str">
        <f t="shared" si="1"/>
        <v>Low</v>
      </c>
      <c r="Q47" t="str">
        <f t="shared" si="2"/>
        <v>No</v>
      </c>
      <c r="R47" s="10">
        <f t="shared" si="3"/>
        <v>0</v>
      </c>
    </row>
    <row r="48" spans="1:18">
      <c r="A48" t="s">
        <v>1079</v>
      </c>
      <c r="B48" t="s">
        <v>1080</v>
      </c>
      <c r="C48" t="s">
        <v>1081</v>
      </c>
      <c r="D48" t="s">
        <v>41</v>
      </c>
      <c r="E48" t="s">
        <v>22</v>
      </c>
      <c r="F48" t="s">
        <v>73</v>
      </c>
      <c r="G48" s="7">
        <v>45643</v>
      </c>
      <c r="H48">
        <v>27</v>
      </c>
      <c r="I48">
        <v>0</v>
      </c>
      <c r="J48" t="s">
        <v>36</v>
      </c>
      <c r="K48" t="s">
        <v>25</v>
      </c>
      <c r="L48" t="s">
        <v>37</v>
      </c>
      <c r="M48">
        <v>19</v>
      </c>
      <c r="N48" t="s">
        <v>27</v>
      </c>
      <c r="O48" t="str">
        <f t="shared" si="0"/>
        <v>2024-12</v>
      </c>
      <c r="P48" t="str">
        <f t="shared" si="1"/>
        <v>Medium</v>
      </c>
      <c r="Q48" t="str">
        <f t="shared" si="2"/>
        <v>No</v>
      </c>
      <c r="R48" s="10">
        <f t="shared" si="3"/>
        <v>0</v>
      </c>
    </row>
    <row r="49" spans="1:18">
      <c r="A49" t="s">
        <v>379</v>
      </c>
      <c r="B49" t="s">
        <v>380</v>
      </c>
      <c r="C49" t="s">
        <v>381</v>
      </c>
      <c r="D49" t="s">
        <v>57</v>
      </c>
      <c r="E49" t="s">
        <v>42</v>
      </c>
      <c r="F49" t="s">
        <v>58</v>
      </c>
      <c r="G49" s="7">
        <v>45692</v>
      </c>
      <c r="H49">
        <v>115</v>
      </c>
      <c r="I49">
        <v>22.35</v>
      </c>
      <c r="J49" t="s">
        <v>173</v>
      </c>
      <c r="K49" t="s">
        <v>25</v>
      </c>
      <c r="L49" t="s">
        <v>26</v>
      </c>
      <c r="M49">
        <v>43</v>
      </c>
      <c r="N49" t="s">
        <v>27</v>
      </c>
      <c r="O49" t="str">
        <f t="shared" si="0"/>
        <v>2025-02</v>
      </c>
      <c r="P49" t="str">
        <f t="shared" si="1"/>
        <v>High</v>
      </c>
      <c r="Q49" t="str">
        <f t="shared" si="2"/>
        <v>Yes</v>
      </c>
      <c r="R49" s="10">
        <f t="shared" si="3"/>
        <v>0</v>
      </c>
    </row>
    <row r="50" spans="1:18">
      <c r="A50" t="s">
        <v>1082</v>
      </c>
      <c r="B50" t="s">
        <v>1083</v>
      </c>
      <c r="C50" t="s">
        <v>1084</v>
      </c>
      <c r="D50" t="s">
        <v>21</v>
      </c>
      <c r="E50" t="s">
        <v>22</v>
      </c>
      <c r="F50" t="s">
        <v>23</v>
      </c>
      <c r="G50" s="7">
        <v>45715</v>
      </c>
      <c r="H50">
        <v>27</v>
      </c>
      <c r="I50">
        <v>0</v>
      </c>
      <c r="J50" t="s">
        <v>36</v>
      </c>
      <c r="K50" t="s">
        <v>25</v>
      </c>
      <c r="L50" t="s">
        <v>37</v>
      </c>
      <c r="M50">
        <v>39</v>
      </c>
      <c r="N50" t="s">
        <v>27</v>
      </c>
      <c r="O50" t="str">
        <f t="shared" si="0"/>
        <v>2025-02</v>
      </c>
      <c r="P50" t="str">
        <f t="shared" si="1"/>
        <v>Medium</v>
      </c>
      <c r="Q50" t="str">
        <f t="shared" si="2"/>
        <v>No</v>
      </c>
      <c r="R50" s="10">
        <f t="shared" si="3"/>
        <v>0</v>
      </c>
    </row>
    <row r="51" spans="1:18">
      <c r="A51" t="s">
        <v>177</v>
      </c>
      <c r="B51" t="s">
        <v>178</v>
      </c>
      <c r="C51" t="s">
        <v>179</v>
      </c>
      <c r="D51" t="s">
        <v>62</v>
      </c>
      <c r="E51" t="s">
        <v>22</v>
      </c>
      <c r="F51" t="s">
        <v>23</v>
      </c>
      <c r="G51" s="7">
        <v>45658</v>
      </c>
      <c r="H51">
        <v>82</v>
      </c>
      <c r="I51">
        <v>0</v>
      </c>
      <c r="J51" t="s">
        <v>36</v>
      </c>
      <c r="K51" t="s">
        <v>53</v>
      </c>
      <c r="L51" t="s">
        <v>37</v>
      </c>
      <c r="M51">
        <v>26</v>
      </c>
      <c r="N51" t="s">
        <v>27</v>
      </c>
      <c r="O51" t="str">
        <f t="shared" si="0"/>
        <v>2025-01</v>
      </c>
      <c r="P51" t="str">
        <f t="shared" si="1"/>
        <v>High</v>
      </c>
      <c r="Q51" t="str">
        <f t="shared" si="2"/>
        <v>No</v>
      </c>
      <c r="R51" s="10">
        <f t="shared" si="3"/>
        <v>0</v>
      </c>
    </row>
    <row r="52" spans="1:18">
      <c r="A52" t="s">
        <v>1085</v>
      </c>
      <c r="B52" t="s">
        <v>1086</v>
      </c>
      <c r="C52" t="s">
        <v>1087</v>
      </c>
      <c r="D52" t="s">
        <v>57</v>
      </c>
      <c r="E52" t="s">
        <v>42</v>
      </c>
      <c r="F52" t="s">
        <v>80</v>
      </c>
      <c r="G52" s="7">
        <v>45781</v>
      </c>
      <c r="H52">
        <v>42</v>
      </c>
      <c r="I52">
        <v>0</v>
      </c>
      <c r="J52" t="s">
        <v>36</v>
      </c>
      <c r="K52" t="s">
        <v>25</v>
      </c>
      <c r="L52" t="s">
        <v>37</v>
      </c>
      <c r="M52">
        <v>18</v>
      </c>
      <c r="N52" t="s">
        <v>27</v>
      </c>
      <c r="O52" t="str">
        <f t="shared" si="0"/>
        <v>2025-05</v>
      </c>
      <c r="P52" t="str">
        <f t="shared" si="1"/>
        <v>Medium</v>
      </c>
      <c r="Q52" t="str">
        <f t="shared" si="2"/>
        <v>No</v>
      </c>
      <c r="R52" s="10">
        <f t="shared" si="3"/>
        <v>0</v>
      </c>
    </row>
    <row r="53" spans="1:18">
      <c r="A53" t="s">
        <v>31</v>
      </c>
      <c r="B53" t="s">
        <v>32</v>
      </c>
      <c r="C53" t="s">
        <v>33</v>
      </c>
      <c r="D53" t="s">
        <v>21</v>
      </c>
      <c r="E53" t="s">
        <v>34</v>
      </c>
      <c r="F53" t="s">
        <v>35</v>
      </c>
      <c r="G53" s="7">
        <v>45645</v>
      </c>
      <c r="H53">
        <v>108</v>
      </c>
      <c r="I53">
        <v>0</v>
      </c>
      <c r="J53" t="s">
        <v>36</v>
      </c>
      <c r="K53" t="s">
        <v>25</v>
      </c>
      <c r="L53" t="s">
        <v>37</v>
      </c>
      <c r="M53">
        <v>35</v>
      </c>
      <c r="N53" t="s">
        <v>27</v>
      </c>
      <c r="O53" t="str">
        <f t="shared" si="0"/>
        <v>2024-12</v>
      </c>
      <c r="P53" t="str">
        <f t="shared" si="1"/>
        <v>High</v>
      </c>
      <c r="Q53" t="str">
        <f t="shared" si="2"/>
        <v>No</v>
      </c>
      <c r="R53" s="10">
        <f t="shared" si="3"/>
        <v>0</v>
      </c>
    </row>
    <row r="54" spans="1:18">
      <c r="A54" t="s">
        <v>1088</v>
      </c>
      <c r="B54" t="s">
        <v>1089</v>
      </c>
      <c r="C54" t="s">
        <v>1090</v>
      </c>
      <c r="D54" t="s">
        <v>62</v>
      </c>
      <c r="E54" t="s">
        <v>42</v>
      </c>
      <c r="F54" t="s">
        <v>73</v>
      </c>
      <c r="G54" s="7">
        <v>45758</v>
      </c>
      <c r="H54">
        <v>38</v>
      </c>
      <c r="I54">
        <v>0</v>
      </c>
      <c r="J54" t="s">
        <v>36</v>
      </c>
      <c r="K54" t="s">
        <v>25</v>
      </c>
      <c r="L54" t="s">
        <v>37</v>
      </c>
      <c r="M54">
        <v>34</v>
      </c>
      <c r="N54" t="s">
        <v>27</v>
      </c>
      <c r="O54" t="str">
        <f t="shared" si="0"/>
        <v>2025-04</v>
      </c>
      <c r="P54" t="str">
        <f t="shared" si="1"/>
        <v>Medium</v>
      </c>
      <c r="Q54" t="str">
        <f t="shared" si="2"/>
        <v>No</v>
      </c>
      <c r="R54" s="10">
        <f t="shared" si="3"/>
        <v>0</v>
      </c>
    </row>
    <row r="55" spans="1:18">
      <c r="A55" t="s">
        <v>503</v>
      </c>
      <c r="B55" t="s">
        <v>504</v>
      </c>
      <c r="C55" t="s">
        <v>505</v>
      </c>
      <c r="D55" t="s">
        <v>57</v>
      </c>
      <c r="E55" t="s">
        <v>34</v>
      </c>
      <c r="F55" t="s">
        <v>73</v>
      </c>
      <c r="G55" s="7">
        <v>45727</v>
      </c>
      <c r="H55">
        <v>136</v>
      </c>
      <c r="I55">
        <v>0</v>
      </c>
      <c r="J55" t="s">
        <v>36</v>
      </c>
      <c r="K55" t="s">
        <v>25</v>
      </c>
      <c r="L55" t="s">
        <v>37</v>
      </c>
      <c r="M55">
        <v>11</v>
      </c>
      <c r="N55" t="s">
        <v>27</v>
      </c>
      <c r="O55" t="str">
        <f t="shared" si="0"/>
        <v>2025-03</v>
      </c>
      <c r="P55" t="str">
        <f t="shared" si="1"/>
        <v>High</v>
      </c>
      <c r="Q55" t="str">
        <f t="shared" si="2"/>
        <v>No</v>
      </c>
      <c r="R55" s="10">
        <f t="shared" si="3"/>
        <v>0</v>
      </c>
    </row>
    <row r="56" spans="1:18">
      <c r="A56" t="s">
        <v>1091</v>
      </c>
      <c r="B56" t="s">
        <v>1092</v>
      </c>
      <c r="C56" t="s">
        <v>1093</v>
      </c>
      <c r="D56" t="s">
        <v>57</v>
      </c>
      <c r="E56" t="s">
        <v>22</v>
      </c>
      <c r="F56" t="s">
        <v>23</v>
      </c>
      <c r="G56" s="7">
        <v>45814</v>
      </c>
      <c r="H56">
        <v>20</v>
      </c>
      <c r="I56">
        <v>0</v>
      </c>
      <c r="J56" t="s">
        <v>36</v>
      </c>
      <c r="K56" t="s">
        <v>53</v>
      </c>
      <c r="L56" t="s">
        <v>37</v>
      </c>
      <c r="M56">
        <v>49</v>
      </c>
      <c r="N56" t="s">
        <v>27</v>
      </c>
      <c r="O56" t="str">
        <f t="shared" si="0"/>
        <v>2025-06</v>
      </c>
      <c r="P56" t="str">
        <f t="shared" si="1"/>
        <v>Medium</v>
      </c>
      <c r="Q56" t="str">
        <f t="shared" si="2"/>
        <v>No</v>
      </c>
      <c r="R56" s="10">
        <f t="shared" si="3"/>
        <v>0</v>
      </c>
    </row>
    <row r="57" spans="1:18">
      <c r="A57" t="s">
        <v>794</v>
      </c>
      <c r="B57" t="s">
        <v>795</v>
      </c>
      <c r="C57" t="s">
        <v>796</v>
      </c>
      <c r="D57" t="s">
        <v>57</v>
      </c>
      <c r="E57" t="s">
        <v>22</v>
      </c>
      <c r="F57" t="s">
        <v>58</v>
      </c>
      <c r="G57" s="7">
        <v>45788</v>
      </c>
      <c r="H57">
        <v>117</v>
      </c>
      <c r="I57">
        <v>0</v>
      </c>
      <c r="J57" t="s">
        <v>36</v>
      </c>
      <c r="K57" t="s">
        <v>66</v>
      </c>
      <c r="L57" t="s">
        <v>37</v>
      </c>
      <c r="M57">
        <v>11</v>
      </c>
      <c r="N57" t="s">
        <v>27</v>
      </c>
      <c r="O57" t="str">
        <f t="shared" si="0"/>
        <v>2025-05</v>
      </c>
      <c r="P57" t="str">
        <f t="shared" si="1"/>
        <v>High</v>
      </c>
      <c r="Q57" t="str">
        <f t="shared" si="2"/>
        <v>No</v>
      </c>
      <c r="R57" s="10">
        <f t="shared" si="3"/>
        <v>0</v>
      </c>
    </row>
    <row r="58" spans="1:18">
      <c r="A58" t="s">
        <v>797</v>
      </c>
      <c r="B58" t="s">
        <v>798</v>
      </c>
      <c r="C58" t="s">
        <v>799</v>
      </c>
      <c r="D58" t="s">
        <v>57</v>
      </c>
      <c r="E58" t="s">
        <v>34</v>
      </c>
      <c r="F58" t="s">
        <v>58</v>
      </c>
      <c r="G58" s="7">
        <v>45781</v>
      </c>
      <c r="H58">
        <v>139</v>
      </c>
      <c r="I58">
        <v>0</v>
      </c>
      <c r="J58" t="s">
        <v>36</v>
      </c>
      <c r="K58" t="s">
        <v>25</v>
      </c>
      <c r="L58" t="s">
        <v>37</v>
      </c>
      <c r="M58">
        <v>41</v>
      </c>
      <c r="N58" t="s">
        <v>27</v>
      </c>
      <c r="O58" t="str">
        <f t="shared" si="0"/>
        <v>2025-05</v>
      </c>
      <c r="P58" t="str">
        <f t="shared" si="1"/>
        <v>High</v>
      </c>
      <c r="Q58" t="str">
        <f t="shared" si="2"/>
        <v>No</v>
      </c>
      <c r="R58" s="10">
        <f t="shared" si="3"/>
        <v>0</v>
      </c>
    </row>
    <row r="59" spans="1:18">
      <c r="A59" t="s">
        <v>1094</v>
      </c>
      <c r="B59" t="s">
        <v>1095</v>
      </c>
      <c r="C59" t="s">
        <v>1096</v>
      </c>
      <c r="D59" t="s">
        <v>21</v>
      </c>
      <c r="E59" t="s">
        <v>22</v>
      </c>
      <c r="F59" t="s">
        <v>35</v>
      </c>
      <c r="G59" s="7">
        <v>45756</v>
      </c>
      <c r="H59">
        <v>19</v>
      </c>
      <c r="I59">
        <v>44.21</v>
      </c>
      <c r="J59" t="s">
        <v>44</v>
      </c>
      <c r="K59" t="s">
        <v>25</v>
      </c>
      <c r="L59" t="s">
        <v>26</v>
      </c>
      <c r="M59">
        <v>24</v>
      </c>
      <c r="N59" t="s">
        <v>30</v>
      </c>
      <c r="O59" t="str">
        <f t="shared" si="0"/>
        <v>2025-04</v>
      </c>
      <c r="P59" t="str">
        <f t="shared" si="1"/>
        <v>Low</v>
      </c>
      <c r="Q59" t="str">
        <f t="shared" si="2"/>
        <v>Yes</v>
      </c>
      <c r="R59" s="10">
        <f t="shared" si="3"/>
        <v>1</v>
      </c>
    </row>
    <row r="60" spans="1:18">
      <c r="A60" t="s">
        <v>627</v>
      </c>
      <c r="B60" t="s">
        <v>628</v>
      </c>
      <c r="C60" t="s">
        <v>629</v>
      </c>
      <c r="D60" t="s">
        <v>57</v>
      </c>
      <c r="E60" t="s">
        <v>34</v>
      </c>
      <c r="F60" t="s">
        <v>35</v>
      </c>
      <c r="G60" s="7">
        <v>45771</v>
      </c>
      <c r="H60">
        <v>76</v>
      </c>
      <c r="I60">
        <v>0</v>
      </c>
      <c r="J60" t="s">
        <v>36</v>
      </c>
      <c r="K60" t="s">
        <v>25</v>
      </c>
      <c r="L60" t="s">
        <v>37</v>
      </c>
      <c r="M60">
        <v>41</v>
      </c>
      <c r="N60" t="s">
        <v>27</v>
      </c>
      <c r="O60" t="str">
        <f t="shared" si="0"/>
        <v>2025-04</v>
      </c>
      <c r="P60" t="str">
        <f t="shared" si="1"/>
        <v>High</v>
      </c>
      <c r="Q60" t="str">
        <f t="shared" si="2"/>
        <v>No</v>
      </c>
      <c r="R60" s="10">
        <f t="shared" si="3"/>
        <v>0</v>
      </c>
    </row>
    <row r="61" spans="1:18">
      <c r="A61" t="s">
        <v>630</v>
      </c>
      <c r="B61" t="s">
        <v>631</v>
      </c>
      <c r="C61" t="s">
        <v>632</v>
      </c>
      <c r="D61" t="s">
        <v>49</v>
      </c>
      <c r="E61" t="s">
        <v>34</v>
      </c>
      <c r="F61" t="s">
        <v>23</v>
      </c>
      <c r="G61" s="7">
        <v>45767</v>
      </c>
      <c r="H61">
        <v>153</v>
      </c>
      <c r="I61">
        <v>0</v>
      </c>
      <c r="J61" t="s">
        <v>36</v>
      </c>
      <c r="K61" t="s">
        <v>25</v>
      </c>
      <c r="L61" t="s">
        <v>37</v>
      </c>
      <c r="M61">
        <v>2</v>
      </c>
      <c r="N61" t="s">
        <v>30</v>
      </c>
      <c r="O61" t="str">
        <f t="shared" si="0"/>
        <v>2025-04</v>
      </c>
      <c r="P61" t="str">
        <f t="shared" si="1"/>
        <v>High</v>
      </c>
      <c r="Q61" t="str">
        <f t="shared" si="2"/>
        <v>No</v>
      </c>
      <c r="R61" s="10">
        <f t="shared" si="3"/>
        <v>1</v>
      </c>
    </row>
    <row r="62" spans="1:18">
      <c r="A62" t="s">
        <v>800</v>
      </c>
      <c r="B62" t="s">
        <v>801</v>
      </c>
      <c r="C62" t="s">
        <v>802</v>
      </c>
      <c r="D62" t="s">
        <v>62</v>
      </c>
      <c r="E62" t="s">
        <v>42</v>
      </c>
      <c r="F62" t="s">
        <v>58</v>
      </c>
      <c r="G62" s="7">
        <v>45804</v>
      </c>
      <c r="H62">
        <v>156</v>
      </c>
      <c r="I62">
        <v>0</v>
      </c>
      <c r="J62" t="s">
        <v>36</v>
      </c>
      <c r="K62" t="s">
        <v>25</v>
      </c>
      <c r="L62" t="s">
        <v>26</v>
      </c>
      <c r="M62">
        <v>50</v>
      </c>
      <c r="N62" t="s">
        <v>30</v>
      </c>
      <c r="O62" t="str">
        <f t="shared" si="0"/>
        <v>2025-05</v>
      </c>
      <c r="P62" t="str">
        <f t="shared" si="1"/>
        <v>High</v>
      </c>
      <c r="Q62" t="str">
        <f t="shared" si="2"/>
        <v>No</v>
      </c>
      <c r="R62" s="10">
        <f t="shared" si="3"/>
        <v>1</v>
      </c>
    </row>
    <row r="63" spans="1:18">
      <c r="A63" t="s">
        <v>509</v>
      </c>
      <c r="B63" t="s">
        <v>510</v>
      </c>
      <c r="C63" t="s">
        <v>511</v>
      </c>
      <c r="D63" t="s">
        <v>62</v>
      </c>
      <c r="E63" t="s">
        <v>22</v>
      </c>
      <c r="F63" t="s">
        <v>73</v>
      </c>
      <c r="G63" s="7">
        <v>45739</v>
      </c>
      <c r="H63">
        <v>153</v>
      </c>
      <c r="I63">
        <v>0</v>
      </c>
      <c r="J63" t="s">
        <v>36</v>
      </c>
      <c r="K63" t="s">
        <v>25</v>
      </c>
      <c r="L63" t="s">
        <v>26</v>
      </c>
      <c r="M63">
        <v>44</v>
      </c>
      <c r="N63" t="s">
        <v>30</v>
      </c>
      <c r="O63" t="str">
        <f t="shared" si="0"/>
        <v>2025-03</v>
      </c>
      <c r="P63" t="str">
        <f t="shared" si="1"/>
        <v>High</v>
      </c>
      <c r="Q63" t="str">
        <f t="shared" si="2"/>
        <v>No</v>
      </c>
      <c r="R63" s="10">
        <f t="shared" si="3"/>
        <v>1</v>
      </c>
    </row>
    <row r="64" spans="1:18">
      <c r="A64" t="s">
        <v>183</v>
      </c>
      <c r="B64" t="s">
        <v>184</v>
      </c>
      <c r="C64" t="s">
        <v>185</v>
      </c>
      <c r="D64" t="s">
        <v>21</v>
      </c>
      <c r="E64" t="s">
        <v>42</v>
      </c>
      <c r="F64" t="s">
        <v>73</v>
      </c>
      <c r="G64" s="7">
        <v>45658</v>
      </c>
      <c r="H64">
        <v>77</v>
      </c>
      <c r="I64">
        <v>39.880000000000003</v>
      </c>
      <c r="J64" t="s">
        <v>129</v>
      </c>
      <c r="K64" t="s">
        <v>25</v>
      </c>
      <c r="L64" t="s">
        <v>26</v>
      </c>
      <c r="M64">
        <v>25</v>
      </c>
      <c r="N64" t="s">
        <v>27</v>
      </c>
      <c r="O64" t="str">
        <f t="shared" si="0"/>
        <v>2025-01</v>
      </c>
      <c r="P64" t="str">
        <f t="shared" si="1"/>
        <v>High</v>
      </c>
      <c r="Q64" t="str">
        <f t="shared" si="2"/>
        <v>Yes</v>
      </c>
      <c r="R64" s="10">
        <f t="shared" si="3"/>
        <v>0</v>
      </c>
    </row>
    <row r="65" spans="1:18">
      <c r="A65" t="s">
        <v>968</v>
      </c>
      <c r="B65" t="s">
        <v>969</v>
      </c>
      <c r="C65" t="s">
        <v>970</v>
      </c>
      <c r="D65" t="s">
        <v>21</v>
      </c>
      <c r="E65" t="s">
        <v>34</v>
      </c>
      <c r="F65" t="s">
        <v>80</v>
      </c>
      <c r="G65" s="7">
        <v>45818</v>
      </c>
      <c r="H65">
        <v>81</v>
      </c>
      <c r="I65">
        <v>10.1</v>
      </c>
      <c r="J65" t="s">
        <v>173</v>
      </c>
      <c r="K65" t="s">
        <v>45</v>
      </c>
      <c r="L65" t="s">
        <v>26</v>
      </c>
      <c r="M65">
        <v>24</v>
      </c>
      <c r="N65" t="s">
        <v>27</v>
      </c>
      <c r="O65" t="str">
        <f t="shared" si="0"/>
        <v>2025-06</v>
      </c>
      <c r="P65" t="str">
        <f t="shared" si="1"/>
        <v>High</v>
      </c>
      <c r="Q65" t="str">
        <f t="shared" si="2"/>
        <v>Yes</v>
      </c>
      <c r="R65" s="10">
        <f t="shared" si="3"/>
        <v>0</v>
      </c>
    </row>
    <row r="66" spans="1:18">
      <c r="A66" t="s">
        <v>1097</v>
      </c>
      <c r="B66" t="s">
        <v>1098</v>
      </c>
      <c r="C66" t="s">
        <v>1099</v>
      </c>
      <c r="D66" t="s">
        <v>49</v>
      </c>
      <c r="E66" t="s">
        <v>34</v>
      </c>
      <c r="F66" t="s">
        <v>35</v>
      </c>
      <c r="G66" s="7">
        <v>45713</v>
      </c>
      <c r="H66">
        <v>7</v>
      </c>
      <c r="I66">
        <v>0</v>
      </c>
      <c r="J66" t="s">
        <v>36</v>
      </c>
      <c r="K66" t="s">
        <v>53</v>
      </c>
      <c r="L66" t="s">
        <v>37</v>
      </c>
      <c r="M66">
        <v>32</v>
      </c>
      <c r="N66" t="s">
        <v>27</v>
      </c>
      <c r="O66" t="str">
        <f t="shared" si="0"/>
        <v>2025-02</v>
      </c>
      <c r="P66" t="str">
        <f t="shared" si="1"/>
        <v>Low</v>
      </c>
      <c r="Q66" t="str">
        <f t="shared" si="2"/>
        <v>No</v>
      </c>
      <c r="R66" s="10">
        <f t="shared" si="3"/>
        <v>0</v>
      </c>
    </row>
    <row r="67" spans="1:18">
      <c r="A67" t="s">
        <v>971</v>
      </c>
      <c r="B67" t="s">
        <v>972</v>
      </c>
      <c r="C67" t="s">
        <v>973</v>
      </c>
      <c r="D67" t="s">
        <v>49</v>
      </c>
      <c r="E67" t="s">
        <v>34</v>
      </c>
      <c r="F67" t="s">
        <v>23</v>
      </c>
      <c r="G67" s="7">
        <v>45814</v>
      </c>
      <c r="H67">
        <v>152</v>
      </c>
      <c r="I67">
        <v>0</v>
      </c>
      <c r="J67" t="s">
        <v>36</v>
      </c>
      <c r="K67" t="s">
        <v>25</v>
      </c>
      <c r="L67" t="s">
        <v>37</v>
      </c>
      <c r="M67">
        <v>21</v>
      </c>
      <c r="N67" t="s">
        <v>30</v>
      </c>
      <c r="O67" t="str">
        <f t="shared" ref="O67:O130" si="4">TEXT(G67,"yyyy-mm")</f>
        <v>2025-06</v>
      </c>
      <c r="P67" t="str">
        <f t="shared" ref="P67:P130" si="5">IF(H67&lt;20,"Low",IF(H67&lt;=60,"Medium","High"))</f>
        <v>High</v>
      </c>
      <c r="Q67" t="str">
        <f t="shared" ref="Q67:Q130" si="6">IF(I67&gt;0,"Yes","No")</f>
        <v>No</v>
      </c>
      <c r="R67" s="10">
        <f t="shared" ref="R67:R130" si="7">IF(N67="Yes",1,0)</f>
        <v>1</v>
      </c>
    </row>
    <row r="68" spans="1:18">
      <c r="A68" t="s">
        <v>186</v>
      </c>
      <c r="B68" t="s">
        <v>187</v>
      </c>
      <c r="C68" t="s">
        <v>188</v>
      </c>
      <c r="D68" t="s">
        <v>62</v>
      </c>
      <c r="E68" t="s">
        <v>34</v>
      </c>
      <c r="F68" t="s">
        <v>73</v>
      </c>
      <c r="G68" s="7">
        <v>45662</v>
      </c>
      <c r="H68">
        <v>64</v>
      </c>
      <c r="I68">
        <v>0</v>
      </c>
      <c r="J68" t="s">
        <v>36</v>
      </c>
      <c r="K68" t="s">
        <v>66</v>
      </c>
      <c r="L68" t="s">
        <v>37</v>
      </c>
      <c r="M68">
        <v>13</v>
      </c>
      <c r="N68" t="s">
        <v>27</v>
      </c>
      <c r="O68" t="str">
        <f t="shared" si="4"/>
        <v>2025-01</v>
      </c>
      <c r="P68" t="str">
        <f t="shared" si="5"/>
        <v>High</v>
      </c>
      <c r="Q68" t="str">
        <f t="shared" si="6"/>
        <v>No</v>
      </c>
      <c r="R68" s="10">
        <f t="shared" si="7"/>
        <v>0</v>
      </c>
    </row>
    <row r="69" spans="1:18">
      <c r="A69" t="s">
        <v>974</v>
      </c>
      <c r="B69" t="s">
        <v>975</v>
      </c>
      <c r="C69" t="s">
        <v>976</v>
      </c>
      <c r="D69" t="s">
        <v>57</v>
      </c>
      <c r="E69" t="s">
        <v>42</v>
      </c>
      <c r="F69" t="s">
        <v>58</v>
      </c>
      <c r="G69" s="7">
        <v>45811</v>
      </c>
      <c r="H69">
        <v>165</v>
      </c>
      <c r="I69">
        <v>0</v>
      </c>
      <c r="J69" t="s">
        <v>36</v>
      </c>
      <c r="K69" t="s">
        <v>25</v>
      </c>
      <c r="L69" t="s">
        <v>37</v>
      </c>
      <c r="M69">
        <v>41</v>
      </c>
      <c r="N69" t="s">
        <v>30</v>
      </c>
      <c r="O69" t="str">
        <f t="shared" si="4"/>
        <v>2025-06</v>
      </c>
      <c r="P69" t="str">
        <f t="shared" si="5"/>
        <v>High</v>
      </c>
      <c r="Q69" t="str">
        <f t="shared" si="6"/>
        <v>No</v>
      </c>
      <c r="R69" s="10">
        <f t="shared" si="7"/>
        <v>1</v>
      </c>
    </row>
    <row r="70" spans="1:18">
      <c r="A70" t="s">
        <v>189</v>
      </c>
      <c r="B70" t="s">
        <v>190</v>
      </c>
      <c r="C70" t="s">
        <v>191</v>
      </c>
      <c r="D70" t="s">
        <v>49</v>
      </c>
      <c r="E70" t="s">
        <v>42</v>
      </c>
      <c r="F70" t="s">
        <v>35</v>
      </c>
      <c r="G70" s="7">
        <v>45674</v>
      </c>
      <c r="H70">
        <v>165</v>
      </c>
      <c r="I70">
        <v>0</v>
      </c>
      <c r="J70" t="s">
        <v>36</v>
      </c>
      <c r="K70" t="s">
        <v>25</v>
      </c>
      <c r="L70" t="s">
        <v>37</v>
      </c>
      <c r="M70">
        <v>15</v>
      </c>
      <c r="N70" t="s">
        <v>30</v>
      </c>
      <c r="O70" t="str">
        <f t="shared" si="4"/>
        <v>2025-01</v>
      </c>
      <c r="P70" t="str">
        <f t="shared" si="5"/>
        <v>High</v>
      </c>
      <c r="Q70" t="str">
        <f t="shared" si="6"/>
        <v>No</v>
      </c>
      <c r="R70" s="10">
        <f t="shared" si="7"/>
        <v>1</v>
      </c>
    </row>
    <row r="71" spans="1:18">
      <c r="A71" t="s">
        <v>192</v>
      </c>
      <c r="B71" t="s">
        <v>193</v>
      </c>
      <c r="C71" t="s">
        <v>194</v>
      </c>
      <c r="D71" t="s">
        <v>41</v>
      </c>
      <c r="E71" t="s">
        <v>34</v>
      </c>
      <c r="F71" t="s">
        <v>73</v>
      </c>
      <c r="G71" s="7">
        <v>45682</v>
      </c>
      <c r="H71">
        <v>79</v>
      </c>
      <c r="I71">
        <v>0</v>
      </c>
      <c r="J71" t="s">
        <v>36</v>
      </c>
      <c r="K71" t="s">
        <v>66</v>
      </c>
      <c r="L71" t="s">
        <v>37</v>
      </c>
      <c r="M71">
        <v>18</v>
      </c>
      <c r="N71" t="s">
        <v>27</v>
      </c>
      <c r="O71" t="str">
        <f t="shared" si="4"/>
        <v>2025-01</v>
      </c>
      <c r="P71" t="str">
        <f t="shared" si="5"/>
        <v>High</v>
      </c>
      <c r="Q71" t="str">
        <f t="shared" si="6"/>
        <v>No</v>
      </c>
      <c r="R71" s="10">
        <f t="shared" si="7"/>
        <v>0</v>
      </c>
    </row>
    <row r="72" spans="1:18">
      <c r="A72" t="s">
        <v>977</v>
      </c>
      <c r="B72" t="s">
        <v>978</v>
      </c>
      <c r="C72" t="s">
        <v>979</v>
      </c>
      <c r="D72" t="s">
        <v>49</v>
      </c>
      <c r="E72" t="s">
        <v>34</v>
      </c>
      <c r="F72" t="s">
        <v>23</v>
      </c>
      <c r="G72" s="7">
        <v>45820</v>
      </c>
      <c r="H72">
        <v>81</v>
      </c>
      <c r="I72">
        <v>0</v>
      </c>
      <c r="J72" t="s">
        <v>36</v>
      </c>
      <c r="K72" t="s">
        <v>66</v>
      </c>
      <c r="L72" t="s">
        <v>37</v>
      </c>
      <c r="M72">
        <v>37</v>
      </c>
      <c r="N72" t="s">
        <v>27</v>
      </c>
      <c r="O72" t="str">
        <f t="shared" si="4"/>
        <v>2025-06</v>
      </c>
      <c r="P72" t="str">
        <f t="shared" si="5"/>
        <v>High</v>
      </c>
      <c r="Q72" t="str">
        <f t="shared" si="6"/>
        <v>No</v>
      </c>
      <c r="R72" s="10">
        <f t="shared" si="7"/>
        <v>0</v>
      </c>
    </row>
    <row r="73" spans="1:18">
      <c r="A73" t="s">
        <v>195</v>
      </c>
      <c r="B73" t="s">
        <v>196</v>
      </c>
      <c r="C73" t="s">
        <v>197</v>
      </c>
      <c r="D73" t="s">
        <v>21</v>
      </c>
      <c r="E73" t="s">
        <v>42</v>
      </c>
      <c r="F73" t="s">
        <v>80</v>
      </c>
      <c r="G73" s="7">
        <v>45659</v>
      </c>
      <c r="H73">
        <v>84</v>
      </c>
      <c r="I73">
        <v>0</v>
      </c>
      <c r="J73" t="s">
        <v>36</v>
      </c>
      <c r="K73" t="s">
        <v>25</v>
      </c>
      <c r="L73" t="s">
        <v>37</v>
      </c>
      <c r="M73">
        <v>11</v>
      </c>
      <c r="N73" t="s">
        <v>27</v>
      </c>
      <c r="O73" t="str">
        <f t="shared" si="4"/>
        <v>2025-01</v>
      </c>
      <c r="P73" t="str">
        <f t="shared" si="5"/>
        <v>High</v>
      </c>
      <c r="Q73" t="str">
        <f t="shared" si="6"/>
        <v>No</v>
      </c>
      <c r="R73" s="10">
        <f t="shared" si="7"/>
        <v>0</v>
      </c>
    </row>
    <row r="74" spans="1:18">
      <c r="A74" t="s">
        <v>806</v>
      </c>
      <c r="B74" t="s">
        <v>807</v>
      </c>
      <c r="C74" t="s">
        <v>808</v>
      </c>
      <c r="D74" t="s">
        <v>62</v>
      </c>
      <c r="E74" t="s">
        <v>22</v>
      </c>
      <c r="F74" t="s">
        <v>58</v>
      </c>
      <c r="G74" s="7">
        <v>45782</v>
      </c>
      <c r="H74">
        <v>79</v>
      </c>
      <c r="I74">
        <v>0</v>
      </c>
      <c r="J74" t="s">
        <v>36</v>
      </c>
      <c r="K74" t="s">
        <v>25</v>
      </c>
      <c r="L74" t="s">
        <v>37</v>
      </c>
      <c r="M74">
        <v>49</v>
      </c>
      <c r="N74" t="s">
        <v>27</v>
      </c>
      <c r="O74" t="str">
        <f t="shared" si="4"/>
        <v>2025-05</v>
      </c>
      <c r="P74" t="str">
        <f t="shared" si="5"/>
        <v>High</v>
      </c>
      <c r="Q74" t="str">
        <f t="shared" si="6"/>
        <v>No</v>
      </c>
      <c r="R74" s="10">
        <f t="shared" si="7"/>
        <v>0</v>
      </c>
    </row>
    <row r="75" spans="1:18">
      <c r="A75" t="s">
        <v>198</v>
      </c>
      <c r="B75" t="s">
        <v>199</v>
      </c>
      <c r="C75" t="s">
        <v>200</v>
      </c>
      <c r="D75" t="s">
        <v>57</v>
      </c>
      <c r="E75" t="s">
        <v>42</v>
      </c>
      <c r="F75" t="s">
        <v>58</v>
      </c>
      <c r="G75" s="7">
        <v>45665</v>
      </c>
      <c r="H75">
        <v>147</v>
      </c>
      <c r="I75">
        <v>0</v>
      </c>
      <c r="J75" t="s">
        <v>36</v>
      </c>
      <c r="K75" t="s">
        <v>25</v>
      </c>
      <c r="L75" t="s">
        <v>37</v>
      </c>
      <c r="M75">
        <v>14</v>
      </c>
      <c r="N75" t="s">
        <v>27</v>
      </c>
      <c r="O75" t="str">
        <f t="shared" si="4"/>
        <v>2025-01</v>
      </c>
      <c r="P75" t="str">
        <f t="shared" si="5"/>
        <v>High</v>
      </c>
      <c r="Q75" t="str">
        <f t="shared" si="6"/>
        <v>No</v>
      </c>
      <c r="R75" s="10">
        <f t="shared" si="7"/>
        <v>0</v>
      </c>
    </row>
    <row r="76" spans="1:18">
      <c r="A76" t="s">
        <v>633</v>
      </c>
      <c r="B76" t="s">
        <v>634</v>
      </c>
      <c r="C76" t="s">
        <v>635</v>
      </c>
      <c r="D76" t="s">
        <v>49</v>
      </c>
      <c r="E76" t="s">
        <v>42</v>
      </c>
      <c r="F76" t="s">
        <v>73</v>
      </c>
      <c r="G76" s="7">
        <v>45750</v>
      </c>
      <c r="H76">
        <v>70</v>
      </c>
      <c r="I76">
        <v>0</v>
      </c>
      <c r="J76" t="s">
        <v>36</v>
      </c>
      <c r="K76" t="s">
        <v>25</v>
      </c>
      <c r="L76" t="s">
        <v>37</v>
      </c>
      <c r="M76">
        <v>12</v>
      </c>
      <c r="N76" t="s">
        <v>27</v>
      </c>
      <c r="O76" t="str">
        <f t="shared" si="4"/>
        <v>2025-04</v>
      </c>
      <c r="P76" t="str">
        <f t="shared" si="5"/>
        <v>High</v>
      </c>
      <c r="Q76" t="str">
        <f t="shared" si="6"/>
        <v>No</v>
      </c>
      <c r="R76" s="10">
        <f t="shared" si="7"/>
        <v>0</v>
      </c>
    </row>
    <row r="77" spans="1:18">
      <c r="A77" t="s">
        <v>1100</v>
      </c>
      <c r="B77" t="s">
        <v>1101</v>
      </c>
      <c r="C77" t="s">
        <v>1102</v>
      </c>
      <c r="D77" t="s">
        <v>62</v>
      </c>
      <c r="E77" t="s">
        <v>34</v>
      </c>
      <c r="F77" t="s">
        <v>35</v>
      </c>
      <c r="G77" s="7">
        <v>45817</v>
      </c>
      <c r="H77">
        <v>33</v>
      </c>
      <c r="I77">
        <v>16.41</v>
      </c>
      <c r="J77" t="s">
        <v>24</v>
      </c>
      <c r="K77" t="s">
        <v>53</v>
      </c>
      <c r="L77" t="s">
        <v>26</v>
      </c>
      <c r="M77">
        <v>30</v>
      </c>
      <c r="N77" t="s">
        <v>27</v>
      </c>
      <c r="O77" t="str">
        <f t="shared" si="4"/>
        <v>2025-06</v>
      </c>
      <c r="P77" t="str">
        <f t="shared" si="5"/>
        <v>Medium</v>
      </c>
      <c r="Q77" t="str">
        <f t="shared" si="6"/>
        <v>Yes</v>
      </c>
      <c r="R77" s="10">
        <f t="shared" si="7"/>
        <v>0</v>
      </c>
    </row>
    <row r="78" spans="1:18">
      <c r="A78" t="s">
        <v>385</v>
      </c>
      <c r="B78" t="s">
        <v>386</v>
      </c>
      <c r="C78" t="s">
        <v>387</v>
      </c>
      <c r="D78" t="s">
        <v>62</v>
      </c>
      <c r="E78" t="s">
        <v>34</v>
      </c>
      <c r="F78" t="s">
        <v>73</v>
      </c>
      <c r="G78" s="7">
        <v>45692</v>
      </c>
      <c r="H78">
        <v>128</v>
      </c>
      <c r="I78">
        <v>0</v>
      </c>
      <c r="J78" t="s">
        <v>36</v>
      </c>
      <c r="K78" t="s">
        <v>53</v>
      </c>
      <c r="L78" t="s">
        <v>37</v>
      </c>
      <c r="M78">
        <v>40</v>
      </c>
      <c r="N78" t="s">
        <v>27</v>
      </c>
      <c r="O78" t="str">
        <f t="shared" si="4"/>
        <v>2025-02</v>
      </c>
      <c r="P78" t="str">
        <f t="shared" si="5"/>
        <v>High</v>
      </c>
      <c r="Q78" t="str">
        <f t="shared" si="6"/>
        <v>No</v>
      </c>
      <c r="R78" s="10">
        <f t="shared" si="7"/>
        <v>0</v>
      </c>
    </row>
    <row r="79" spans="1:18">
      <c r="A79" t="s">
        <v>1103</v>
      </c>
      <c r="B79" t="s">
        <v>1104</v>
      </c>
      <c r="C79" t="s">
        <v>1105</v>
      </c>
      <c r="D79" t="s">
        <v>62</v>
      </c>
      <c r="E79" t="s">
        <v>42</v>
      </c>
      <c r="F79" t="s">
        <v>23</v>
      </c>
      <c r="G79" s="7">
        <v>45815</v>
      </c>
      <c r="H79">
        <v>28</v>
      </c>
      <c r="I79">
        <v>0</v>
      </c>
      <c r="J79" t="s">
        <v>36</v>
      </c>
      <c r="K79" t="s">
        <v>25</v>
      </c>
      <c r="L79" t="s">
        <v>37</v>
      </c>
      <c r="M79">
        <v>4</v>
      </c>
      <c r="N79" t="s">
        <v>27</v>
      </c>
      <c r="O79" t="str">
        <f t="shared" si="4"/>
        <v>2025-06</v>
      </c>
      <c r="P79" t="str">
        <f t="shared" si="5"/>
        <v>Medium</v>
      </c>
      <c r="Q79" t="str">
        <f t="shared" si="6"/>
        <v>No</v>
      </c>
      <c r="R79" s="10">
        <f t="shared" si="7"/>
        <v>0</v>
      </c>
    </row>
    <row r="80" spans="1:18">
      <c r="A80" t="s">
        <v>512</v>
      </c>
      <c r="B80" t="s">
        <v>513</v>
      </c>
      <c r="C80" t="s">
        <v>514</v>
      </c>
      <c r="D80" t="s">
        <v>62</v>
      </c>
      <c r="E80" t="s">
        <v>34</v>
      </c>
      <c r="F80" t="s">
        <v>58</v>
      </c>
      <c r="G80" s="7">
        <v>45743</v>
      </c>
      <c r="H80">
        <v>112</v>
      </c>
      <c r="I80">
        <v>0</v>
      </c>
      <c r="J80" t="s">
        <v>36</v>
      </c>
      <c r="K80" t="s">
        <v>25</v>
      </c>
      <c r="L80" t="s">
        <v>37</v>
      </c>
      <c r="M80">
        <v>21</v>
      </c>
      <c r="N80" t="s">
        <v>27</v>
      </c>
      <c r="O80" t="str">
        <f t="shared" si="4"/>
        <v>2025-03</v>
      </c>
      <c r="P80" t="str">
        <f t="shared" si="5"/>
        <v>High</v>
      </c>
      <c r="Q80" t="str">
        <f t="shared" si="6"/>
        <v>No</v>
      </c>
      <c r="R80" s="10">
        <f t="shared" si="7"/>
        <v>0</v>
      </c>
    </row>
    <row r="81" spans="1:18">
      <c r="A81" t="s">
        <v>809</v>
      </c>
      <c r="B81" t="s">
        <v>810</v>
      </c>
      <c r="C81" t="s">
        <v>811</v>
      </c>
      <c r="D81" t="s">
        <v>62</v>
      </c>
      <c r="E81" t="s">
        <v>22</v>
      </c>
      <c r="F81" t="s">
        <v>80</v>
      </c>
      <c r="G81" s="7">
        <v>45779</v>
      </c>
      <c r="H81">
        <v>175</v>
      </c>
      <c r="I81">
        <v>27.19</v>
      </c>
      <c r="J81" t="s">
        <v>129</v>
      </c>
      <c r="K81" t="s">
        <v>25</v>
      </c>
      <c r="L81" t="s">
        <v>26</v>
      </c>
      <c r="M81">
        <v>1</v>
      </c>
      <c r="N81" t="s">
        <v>30</v>
      </c>
      <c r="O81" t="str">
        <f t="shared" si="4"/>
        <v>2025-05</v>
      </c>
      <c r="P81" t="str">
        <f t="shared" si="5"/>
        <v>High</v>
      </c>
      <c r="Q81" t="str">
        <f t="shared" si="6"/>
        <v>Yes</v>
      </c>
      <c r="R81" s="10">
        <f t="shared" si="7"/>
        <v>1</v>
      </c>
    </row>
    <row r="82" spans="1:18">
      <c r="A82" t="s">
        <v>1106</v>
      </c>
      <c r="B82" t="s">
        <v>1107</v>
      </c>
      <c r="C82" t="s">
        <v>1108</v>
      </c>
      <c r="D82" t="s">
        <v>41</v>
      </c>
      <c r="E82" t="s">
        <v>34</v>
      </c>
      <c r="F82" t="s">
        <v>23</v>
      </c>
      <c r="G82" s="7">
        <v>45809</v>
      </c>
      <c r="H82">
        <v>60</v>
      </c>
      <c r="I82">
        <v>0</v>
      </c>
      <c r="J82" t="s">
        <v>36</v>
      </c>
      <c r="K82" t="s">
        <v>25</v>
      </c>
      <c r="L82" t="s">
        <v>37</v>
      </c>
      <c r="M82">
        <v>44</v>
      </c>
      <c r="N82" t="s">
        <v>27</v>
      </c>
      <c r="O82" t="str">
        <f t="shared" si="4"/>
        <v>2025-06</v>
      </c>
      <c r="P82" t="str">
        <f t="shared" si="5"/>
        <v>Medium</v>
      </c>
      <c r="Q82" t="str">
        <f t="shared" si="6"/>
        <v>No</v>
      </c>
      <c r="R82" s="10">
        <f t="shared" si="7"/>
        <v>0</v>
      </c>
    </row>
    <row r="83" spans="1:18">
      <c r="A83" t="s">
        <v>515</v>
      </c>
      <c r="B83" t="s">
        <v>516</v>
      </c>
      <c r="C83" t="s">
        <v>517</v>
      </c>
      <c r="D83" t="s">
        <v>21</v>
      </c>
      <c r="E83" t="s">
        <v>34</v>
      </c>
      <c r="F83" t="s">
        <v>80</v>
      </c>
      <c r="G83" s="7">
        <v>45739</v>
      </c>
      <c r="H83">
        <v>144</v>
      </c>
      <c r="I83">
        <v>0</v>
      </c>
      <c r="J83" t="s">
        <v>36</v>
      </c>
      <c r="K83" t="s">
        <v>25</v>
      </c>
      <c r="L83" t="s">
        <v>37</v>
      </c>
      <c r="M83">
        <v>35</v>
      </c>
      <c r="N83" t="s">
        <v>27</v>
      </c>
      <c r="O83" t="str">
        <f t="shared" si="4"/>
        <v>2025-03</v>
      </c>
      <c r="P83" t="str">
        <f t="shared" si="5"/>
        <v>High</v>
      </c>
      <c r="Q83" t="str">
        <f t="shared" si="6"/>
        <v>No</v>
      </c>
      <c r="R83" s="10">
        <f t="shared" si="7"/>
        <v>0</v>
      </c>
    </row>
    <row r="84" spans="1:18">
      <c r="A84" t="s">
        <v>1109</v>
      </c>
      <c r="B84" t="s">
        <v>1110</v>
      </c>
      <c r="C84" t="s">
        <v>1111</v>
      </c>
      <c r="D84" t="s">
        <v>62</v>
      </c>
      <c r="E84" t="s">
        <v>34</v>
      </c>
      <c r="F84" t="s">
        <v>35</v>
      </c>
      <c r="G84" s="7">
        <v>45778</v>
      </c>
      <c r="H84">
        <v>47</v>
      </c>
      <c r="I84">
        <v>0</v>
      </c>
      <c r="J84" t="s">
        <v>36</v>
      </c>
      <c r="K84" t="s">
        <v>45</v>
      </c>
      <c r="L84" t="s">
        <v>37</v>
      </c>
      <c r="M84">
        <v>50</v>
      </c>
      <c r="N84" t="s">
        <v>27</v>
      </c>
      <c r="O84" t="str">
        <f t="shared" si="4"/>
        <v>2025-05</v>
      </c>
      <c r="P84" t="str">
        <f t="shared" si="5"/>
        <v>Medium</v>
      </c>
      <c r="Q84" t="str">
        <f t="shared" si="6"/>
        <v>No</v>
      </c>
      <c r="R84" s="10">
        <f t="shared" si="7"/>
        <v>0</v>
      </c>
    </row>
    <row r="85" spans="1:18">
      <c r="A85" t="s">
        <v>1112</v>
      </c>
      <c r="B85" t="s">
        <v>1113</v>
      </c>
      <c r="C85" t="s">
        <v>1114</v>
      </c>
      <c r="D85" t="s">
        <v>41</v>
      </c>
      <c r="E85" t="s">
        <v>22</v>
      </c>
      <c r="F85" t="s">
        <v>80</v>
      </c>
      <c r="G85" s="7">
        <v>45677</v>
      </c>
      <c r="H85">
        <v>53</v>
      </c>
      <c r="I85">
        <v>0</v>
      </c>
      <c r="J85" t="s">
        <v>36</v>
      </c>
      <c r="K85" t="s">
        <v>25</v>
      </c>
      <c r="L85" t="s">
        <v>37</v>
      </c>
      <c r="M85">
        <v>4</v>
      </c>
      <c r="N85" t="s">
        <v>27</v>
      </c>
      <c r="O85" t="str">
        <f t="shared" si="4"/>
        <v>2025-01</v>
      </c>
      <c r="P85" t="str">
        <f t="shared" si="5"/>
        <v>Medium</v>
      </c>
      <c r="Q85" t="str">
        <f t="shared" si="6"/>
        <v>No</v>
      </c>
      <c r="R85" s="10">
        <f t="shared" si="7"/>
        <v>0</v>
      </c>
    </row>
    <row r="86" spans="1:18">
      <c r="A86" t="s">
        <v>1115</v>
      </c>
      <c r="B86" t="s">
        <v>1116</v>
      </c>
      <c r="C86" t="s">
        <v>1117</v>
      </c>
      <c r="D86" t="s">
        <v>49</v>
      </c>
      <c r="E86" t="s">
        <v>42</v>
      </c>
      <c r="F86" t="s">
        <v>35</v>
      </c>
      <c r="G86" s="7">
        <v>45756</v>
      </c>
      <c r="H86">
        <v>43</v>
      </c>
      <c r="I86">
        <v>0</v>
      </c>
      <c r="J86" t="s">
        <v>36</v>
      </c>
      <c r="K86" t="s">
        <v>25</v>
      </c>
      <c r="L86" t="s">
        <v>37</v>
      </c>
      <c r="M86">
        <v>20</v>
      </c>
      <c r="N86" t="s">
        <v>27</v>
      </c>
      <c r="O86" t="str">
        <f t="shared" si="4"/>
        <v>2025-04</v>
      </c>
      <c r="P86" t="str">
        <f t="shared" si="5"/>
        <v>Medium</v>
      </c>
      <c r="Q86" t="str">
        <f t="shared" si="6"/>
        <v>No</v>
      </c>
      <c r="R86" s="10">
        <f t="shared" si="7"/>
        <v>0</v>
      </c>
    </row>
    <row r="87" spans="1:18">
      <c r="A87" t="s">
        <v>1118</v>
      </c>
      <c r="B87" t="s">
        <v>1119</v>
      </c>
      <c r="C87" t="s">
        <v>1120</v>
      </c>
      <c r="D87" t="s">
        <v>57</v>
      </c>
      <c r="E87" t="s">
        <v>34</v>
      </c>
      <c r="F87" t="s">
        <v>80</v>
      </c>
      <c r="G87" s="7">
        <v>45689</v>
      </c>
      <c r="H87">
        <v>11</v>
      </c>
      <c r="I87">
        <v>0</v>
      </c>
      <c r="J87" t="s">
        <v>36</v>
      </c>
      <c r="K87" t="s">
        <v>45</v>
      </c>
      <c r="L87" t="s">
        <v>37</v>
      </c>
      <c r="M87">
        <v>18</v>
      </c>
      <c r="N87" t="s">
        <v>27</v>
      </c>
      <c r="O87" t="str">
        <f t="shared" si="4"/>
        <v>2025-02</v>
      </c>
      <c r="P87" t="str">
        <f t="shared" si="5"/>
        <v>Low</v>
      </c>
      <c r="Q87" t="str">
        <f t="shared" si="6"/>
        <v>No</v>
      </c>
      <c r="R87" s="10">
        <f t="shared" si="7"/>
        <v>0</v>
      </c>
    </row>
    <row r="88" spans="1:18">
      <c r="A88" t="s">
        <v>523</v>
      </c>
      <c r="B88" t="s">
        <v>524</v>
      </c>
      <c r="C88" t="s">
        <v>525</v>
      </c>
      <c r="D88" t="s">
        <v>57</v>
      </c>
      <c r="E88" t="s">
        <v>42</v>
      </c>
      <c r="F88" t="s">
        <v>80</v>
      </c>
      <c r="G88" s="7">
        <v>45719</v>
      </c>
      <c r="H88">
        <v>100</v>
      </c>
      <c r="I88">
        <v>0</v>
      </c>
      <c r="J88" t="s">
        <v>36</v>
      </c>
      <c r="K88" t="s">
        <v>25</v>
      </c>
      <c r="L88" t="s">
        <v>37</v>
      </c>
      <c r="M88">
        <v>50</v>
      </c>
      <c r="N88" t="s">
        <v>27</v>
      </c>
      <c r="O88" t="str">
        <f t="shared" si="4"/>
        <v>2025-03</v>
      </c>
      <c r="P88" t="str">
        <f t="shared" si="5"/>
        <v>High</v>
      </c>
      <c r="Q88" t="str">
        <f t="shared" si="6"/>
        <v>No</v>
      </c>
      <c r="R88" s="10">
        <f t="shared" si="7"/>
        <v>0</v>
      </c>
    </row>
    <row r="89" spans="1:18">
      <c r="A89" t="s">
        <v>1121</v>
      </c>
      <c r="B89" t="s">
        <v>1122</v>
      </c>
      <c r="C89" t="s">
        <v>1123</v>
      </c>
      <c r="D89" t="s">
        <v>62</v>
      </c>
      <c r="E89" t="s">
        <v>34</v>
      </c>
      <c r="F89" t="s">
        <v>58</v>
      </c>
      <c r="G89" s="7">
        <v>45715</v>
      </c>
      <c r="H89">
        <v>54</v>
      </c>
      <c r="I89">
        <v>35.79</v>
      </c>
      <c r="J89" t="s">
        <v>129</v>
      </c>
      <c r="K89" t="s">
        <v>25</v>
      </c>
      <c r="L89" t="s">
        <v>26</v>
      </c>
      <c r="M89">
        <v>42</v>
      </c>
      <c r="N89" t="s">
        <v>27</v>
      </c>
      <c r="O89" t="str">
        <f t="shared" si="4"/>
        <v>2025-02</v>
      </c>
      <c r="P89" t="str">
        <f t="shared" si="5"/>
        <v>Medium</v>
      </c>
      <c r="Q89" t="str">
        <f t="shared" si="6"/>
        <v>Yes</v>
      </c>
      <c r="R89" s="10">
        <f t="shared" si="7"/>
        <v>0</v>
      </c>
    </row>
    <row r="90" spans="1:18">
      <c r="A90" t="s">
        <v>50</v>
      </c>
      <c r="B90" t="s">
        <v>51</v>
      </c>
      <c r="C90" t="s">
        <v>52</v>
      </c>
      <c r="D90" t="s">
        <v>21</v>
      </c>
      <c r="E90" t="s">
        <v>22</v>
      </c>
      <c r="F90" t="s">
        <v>35</v>
      </c>
      <c r="G90" s="7">
        <v>45651</v>
      </c>
      <c r="H90">
        <v>92</v>
      </c>
      <c r="I90">
        <v>0</v>
      </c>
      <c r="J90" t="s">
        <v>36</v>
      </c>
      <c r="K90" t="s">
        <v>53</v>
      </c>
      <c r="L90" t="s">
        <v>37</v>
      </c>
      <c r="M90">
        <v>21</v>
      </c>
      <c r="N90" t="s">
        <v>27</v>
      </c>
      <c r="O90" t="str">
        <f t="shared" si="4"/>
        <v>2024-12</v>
      </c>
      <c r="P90" t="str">
        <f t="shared" si="5"/>
        <v>High</v>
      </c>
      <c r="Q90" t="str">
        <f t="shared" si="6"/>
        <v>No</v>
      </c>
      <c r="R90" s="10">
        <f t="shared" si="7"/>
        <v>0</v>
      </c>
    </row>
    <row r="91" spans="1:18">
      <c r="A91" t="s">
        <v>207</v>
      </c>
      <c r="B91" t="s">
        <v>208</v>
      </c>
      <c r="C91" t="s">
        <v>209</v>
      </c>
      <c r="D91" t="s">
        <v>49</v>
      </c>
      <c r="E91" t="s">
        <v>22</v>
      </c>
      <c r="F91" t="s">
        <v>43</v>
      </c>
      <c r="G91" s="7">
        <v>45661</v>
      </c>
      <c r="H91">
        <v>115</v>
      </c>
      <c r="I91">
        <v>0</v>
      </c>
      <c r="J91" t="s">
        <v>36</v>
      </c>
      <c r="K91" t="s">
        <v>25</v>
      </c>
      <c r="L91" t="s">
        <v>37</v>
      </c>
      <c r="M91">
        <v>17</v>
      </c>
      <c r="N91" t="s">
        <v>27</v>
      </c>
      <c r="O91" t="str">
        <f t="shared" si="4"/>
        <v>2025-01</v>
      </c>
      <c r="P91" t="str">
        <f t="shared" si="5"/>
        <v>High</v>
      </c>
      <c r="Q91" t="str">
        <f t="shared" si="6"/>
        <v>No</v>
      </c>
      <c r="R91" s="10">
        <f t="shared" si="7"/>
        <v>0</v>
      </c>
    </row>
    <row r="92" spans="1:18">
      <c r="A92" t="s">
        <v>980</v>
      </c>
      <c r="B92" t="s">
        <v>981</v>
      </c>
      <c r="C92" t="s">
        <v>982</v>
      </c>
      <c r="D92" t="s">
        <v>41</v>
      </c>
      <c r="E92" t="s">
        <v>42</v>
      </c>
      <c r="F92" t="s">
        <v>73</v>
      </c>
      <c r="G92" s="7">
        <v>45809</v>
      </c>
      <c r="H92">
        <v>76</v>
      </c>
      <c r="I92">
        <v>0</v>
      </c>
      <c r="J92" t="s">
        <v>36</v>
      </c>
      <c r="K92" t="s">
        <v>25</v>
      </c>
      <c r="L92" t="s">
        <v>37</v>
      </c>
      <c r="M92">
        <v>44</v>
      </c>
      <c r="N92" t="s">
        <v>27</v>
      </c>
      <c r="O92" t="str">
        <f t="shared" si="4"/>
        <v>2025-06</v>
      </c>
      <c r="P92" t="str">
        <f t="shared" si="5"/>
        <v>High</v>
      </c>
      <c r="Q92" t="str">
        <f t="shared" si="6"/>
        <v>No</v>
      </c>
      <c r="R92" s="10">
        <f t="shared" si="7"/>
        <v>0</v>
      </c>
    </row>
    <row r="93" spans="1:18">
      <c r="A93" t="s">
        <v>639</v>
      </c>
      <c r="B93" t="s">
        <v>631</v>
      </c>
      <c r="C93" t="s">
        <v>640</v>
      </c>
      <c r="D93" t="s">
        <v>57</v>
      </c>
      <c r="E93" t="s">
        <v>42</v>
      </c>
      <c r="F93" t="s">
        <v>80</v>
      </c>
      <c r="G93" s="7">
        <v>45770</v>
      </c>
      <c r="H93">
        <v>81</v>
      </c>
      <c r="I93">
        <v>0</v>
      </c>
      <c r="J93" t="s">
        <v>36</v>
      </c>
      <c r="K93" t="s">
        <v>45</v>
      </c>
      <c r="L93" t="s">
        <v>37</v>
      </c>
      <c r="M93">
        <v>46</v>
      </c>
      <c r="N93" t="s">
        <v>27</v>
      </c>
      <c r="O93" t="str">
        <f t="shared" si="4"/>
        <v>2025-04</v>
      </c>
      <c r="P93" t="str">
        <f t="shared" si="5"/>
        <v>High</v>
      </c>
      <c r="Q93" t="str">
        <f t="shared" si="6"/>
        <v>No</v>
      </c>
      <c r="R93" s="10">
        <f t="shared" si="7"/>
        <v>0</v>
      </c>
    </row>
    <row r="94" spans="1:18">
      <c r="A94" t="s">
        <v>54</v>
      </c>
      <c r="B94" t="s">
        <v>55</v>
      </c>
      <c r="C94" t="s">
        <v>56</v>
      </c>
      <c r="D94" t="s">
        <v>57</v>
      </c>
      <c r="E94" t="s">
        <v>22</v>
      </c>
      <c r="F94" t="s">
        <v>58</v>
      </c>
      <c r="G94" s="7">
        <v>45646</v>
      </c>
      <c r="H94">
        <v>154</v>
      </c>
      <c r="I94">
        <v>0</v>
      </c>
      <c r="J94" t="s">
        <v>36</v>
      </c>
      <c r="K94" t="s">
        <v>25</v>
      </c>
      <c r="L94" t="s">
        <v>37</v>
      </c>
      <c r="M94">
        <v>11</v>
      </c>
      <c r="N94" t="s">
        <v>30</v>
      </c>
      <c r="O94" t="str">
        <f t="shared" si="4"/>
        <v>2024-12</v>
      </c>
      <c r="P94" t="str">
        <f t="shared" si="5"/>
        <v>High</v>
      </c>
      <c r="Q94" t="str">
        <f t="shared" si="6"/>
        <v>No</v>
      </c>
      <c r="R94" s="10">
        <f t="shared" si="7"/>
        <v>1</v>
      </c>
    </row>
    <row r="95" spans="1:18">
      <c r="A95" t="s">
        <v>526</v>
      </c>
      <c r="B95" t="s">
        <v>527</v>
      </c>
      <c r="C95" t="s">
        <v>528</v>
      </c>
      <c r="D95" t="s">
        <v>62</v>
      </c>
      <c r="E95" t="s">
        <v>42</v>
      </c>
      <c r="F95" t="s">
        <v>43</v>
      </c>
      <c r="G95" s="7">
        <v>45731</v>
      </c>
      <c r="H95">
        <v>143</v>
      </c>
      <c r="I95">
        <v>0</v>
      </c>
      <c r="J95" t="s">
        <v>36</v>
      </c>
      <c r="K95" t="s">
        <v>66</v>
      </c>
      <c r="L95" t="s">
        <v>37</v>
      </c>
      <c r="M95">
        <v>10</v>
      </c>
      <c r="N95" t="s">
        <v>27</v>
      </c>
      <c r="O95" t="str">
        <f t="shared" si="4"/>
        <v>2025-03</v>
      </c>
      <c r="P95" t="str">
        <f t="shared" si="5"/>
        <v>High</v>
      </c>
      <c r="Q95" t="str">
        <f t="shared" si="6"/>
        <v>No</v>
      </c>
      <c r="R95" s="10">
        <f t="shared" si="7"/>
        <v>0</v>
      </c>
    </row>
    <row r="96" spans="1:18">
      <c r="A96" t="s">
        <v>812</v>
      </c>
      <c r="B96" t="s">
        <v>813</v>
      </c>
      <c r="C96" t="s">
        <v>814</v>
      </c>
      <c r="D96" t="s">
        <v>41</v>
      </c>
      <c r="E96" t="s">
        <v>34</v>
      </c>
      <c r="F96" t="s">
        <v>80</v>
      </c>
      <c r="G96" s="7">
        <v>45779</v>
      </c>
      <c r="H96">
        <v>123</v>
      </c>
      <c r="I96">
        <v>26.85</v>
      </c>
      <c r="J96" t="s">
        <v>44</v>
      </c>
      <c r="K96" t="s">
        <v>45</v>
      </c>
      <c r="L96" t="s">
        <v>26</v>
      </c>
      <c r="M96">
        <v>32</v>
      </c>
      <c r="N96" t="s">
        <v>27</v>
      </c>
      <c r="O96" t="str">
        <f t="shared" si="4"/>
        <v>2025-05</v>
      </c>
      <c r="P96" t="str">
        <f t="shared" si="5"/>
        <v>High</v>
      </c>
      <c r="Q96" t="str">
        <f t="shared" si="6"/>
        <v>Yes</v>
      </c>
      <c r="R96" s="10">
        <f t="shared" si="7"/>
        <v>0</v>
      </c>
    </row>
    <row r="97" spans="1:18">
      <c r="A97" t="s">
        <v>391</v>
      </c>
      <c r="B97" t="s">
        <v>392</v>
      </c>
      <c r="C97" t="s">
        <v>393</v>
      </c>
      <c r="D97" t="s">
        <v>62</v>
      </c>
      <c r="E97" t="s">
        <v>42</v>
      </c>
      <c r="F97" t="s">
        <v>23</v>
      </c>
      <c r="G97" s="7">
        <v>45712</v>
      </c>
      <c r="H97">
        <v>158</v>
      </c>
      <c r="I97">
        <v>0</v>
      </c>
      <c r="J97" t="s">
        <v>36</v>
      </c>
      <c r="K97" t="s">
        <v>25</v>
      </c>
      <c r="L97" t="s">
        <v>26</v>
      </c>
      <c r="M97">
        <v>17</v>
      </c>
      <c r="N97" t="s">
        <v>30</v>
      </c>
      <c r="O97" t="str">
        <f t="shared" si="4"/>
        <v>2025-02</v>
      </c>
      <c r="P97" t="str">
        <f t="shared" si="5"/>
        <v>High</v>
      </c>
      <c r="Q97" t="str">
        <f t="shared" si="6"/>
        <v>No</v>
      </c>
      <c r="R97" s="10">
        <f t="shared" si="7"/>
        <v>1</v>
      </c>
    </row>
    <row r="98" spans="1:18">
      <c r="A98" t="s">
        <v>394</v>
      </c>
      <c r="B98" t="s">
        <v>395</v>
      </c>
      <c r="C98" t="s">
        <v>396</v>
      </c>
      <c r="D98" t="s">
        <v>21</v>
      </c>
      <c r="E98" t="s">
        <v>34</v>
      </c>
      <c r="F98" t="s">
        <v>73</v>
      </c>
      <c r="G98" s="7">
        <v>45710</v>
      </c>
      <c r="H98">
        <v>122</v>
      </c>
      <c r="I98">
        <v>0</v>
      </c>
      <c r="J98" t="s">
        <v>36</v>
      </c>
      <c r="K98" t="s">
        <v>25</v>
      </c>
      <c r="L98" t="s">
        <v>37</v>
      </c>
      <c r="M98">
        <v>9</v>
      </c>
      <c r="N98" t="s">
        <v>27</v>
      </c>
      <c r="O98" t="str">
        <f t="shared" si="4"/>
        <v>2025-02</v>
      </c>
      <c r="P98" t="str">
        <f t="shared" si="5"/>
        <v>High</v>
      </c>
      <c r="Q98" t="str">
        <f t="shared" si="6"/>
        <v>No</v>
      </c>
      <c r="R98" s="10">
        <f t="shared" si="7"/>
        <v>0</v>
      </c>
    </row>
    <row r="99" spans="1:18">
      <c r="A99" t="s">
        <v>59</v>
      </c>
      <c r="B99" t="s">
        <v>60</v>
      </c>
      <c r="C99" t="s">
        <v>61</v>
      </c>
      <c r="D99" t="s">
        <v>62</v>
      </c>
      <c r="E99" t="s">
        <v>42</v>
      </c>
      <c r="F99" t="s">
        <v>43</v>
      </c>
      <c r="G99" s="7">
        <v>45646</v>
      </c>
      <c r="H99">
        <v>164</v>
      </c>
      <c r="I99">
        <v>0</v>
      </c>
      <c r="J99" t="s">
        <v>36</v>
      </c>
      <c r="K99" t="s">
        <v>25</v>
      </c>
      <c r="L99" t="s">
        <v>26</v>
      </c>
      <c r="M99">
        <v>19</v>
      </c>
      <c r="N99" t="s">
        <v>30</v>
      </c>
      <c r="O99" t="str">
        <f t="shared" si="4"/>
        <v>2024-12</v>
      </c>
      <c r="P99" t="str">
        <f t="shared" si="5"/>
        <v>High</v>
      </c>
      <c r="Q99" t="str">
        <f t="shared" si="6"/>
        <v>No</v>
      </c>
      <c r="R99" s="10">
        <f t="shared" si="7"/>
        <v>1</v>
      </c>
    </row>
    <row r="100" spans="1:18">
      <c r="A100" t="s">
        <v>529</v>
      </c>
      <c r="B100" t="s">
        <v>530</v>
      </c>
      <c r="C100" t="s">
        <v>531</v>
      </c>
      <c r="D100" t="s">
        <v>49</v>
      </c>
      <c r="E100" t="s">
        <v>42</v>
      </c>
      <c r="F100" t="s">
        <v>35</v>
      </c>
      <c r="G100" s="7">
        <v>45738</v>
      </c>
      <c r="H100">
        <v>173</v>
      </c>
      <c r="I100">
        <v>0</v>
      </c>
      <c r="J100" t="s">
        <v>36</v>
      </c>
      <c r="K100" t="s">
        <v>25</v>
      </c>
      <c r="L100" t="s">
        <v>37</v>
      </c>
      <c r="M100">
        <v>37</v>
      </c>
      <c r="N100" t="s">
        <v>30</v>
      </c>
      <c r="O100" t="str">
        <f t="shared" si="4"/>
        <v>2025-03</v>
      </c>
      <c r="P100" t="str">
        <f t="shared" si="5"/>
        <v>High</v>
      </c>
      <c r="Q100" t="str">
        <f t="shared" si="6"/>
        <v>No</v>
      </c>
      <c r="R100" s="10">
        <f t="shared" si="7"/>
        <v>1</v>
      </c>
    </row>
    <row r="101" spans="1:18">
      <c r="A101" t="s">
        <v>815</v>
      </c>
      <c r="B101" t="s">
        <v>816</v>
      </c>
      <c r="C101" t="s">
        <v>817</v>
      </c>
      <c r="D101" t="s">
        <v>49</v>
      </c>
      <c r="E101" t="s">
        <v>42</v>
      </c>
      <c r="F101" t="s">
        <v>35</v>
      </c>
      <c r="G101" s="7">
        <v>45787</v>
      </c>
      <c r="H101">
        <v>107</v>
      </c>
      <c r="I101">
        <v>0</v>
      </c>
      <c r="J101" t="s">
        <v>36</v>
      </c>
      <c r="K101" t="s">
        <v>53</v>
      </c>
      <c r="L101" t="s">
        <v>37</v>
      </c>
      <c r="M101">
        <v>13</v>
      </c>
      <c r="N101" t="s">
        <v>27</v>
      </c>
      <c r="O101" t="str">
        <f t="shared" si="4"/>
        <v>2025-05</v>
      </c>
      <c r="P101" t="str">
        <f t="shared" si="5"/>
        <v>High</v>
      </c>
      <c r="Q101" t="str">
        <f t="shared" si="6"/>
        <v>No</v>
      </c>
      <c r="R101" s="10">
        <f t="shared" si="7"/>
        <v>0</v>
      </c>
    </row>
    <row r="102" spans="1:18">
      <c r="A102" t="s">
        <v>1124</v>
      </c>
      <c r="B102" t="s">
        <v>1125</v>
      </c>
      <c r="C102" t="s">
        <v>1126</v>
      </c>
      <c r="D102" t="s">
        <v>57</v>
      </c>
      <c r="E102" t="s">
        <v>22</v>
      </c>
      <c r="F102" t="s">
        <v>58</v>
      </c>
      <c r="G102" s="7">
        <v>45750</v>
      </c>
      <c r="H102">
        <v>34</v>
      </c>
      <c r="I102">
        <v>15.26</v>
      </c>
      <c r="J102" t="s">
        <v>129</v>
      </c>
      <c r="K102" t="s">
        <v>25</v>
      </c>
      <c r="L102" t="s">
        <v>26</v>
      </c>
      <c r="M102">
        <v>11</v>
      </c>
      <c r="N102" t="s">
        <v>27</v>
      </c>
      <c r="O102" t="str">
        <f t="shared" si="4"/>
        <v>2025-04</v>
      </c>
      <c r="P102" t="str">
        <f t="shared" si="5"/>
        <v>Medium</v>
      </c>
      <c r="Q102" t="str">
        <f t="shared" si="6"/>
        <v>Yes</v>
      </c>
      <c r="R102" s="10">
        <f t="shared" si="7"/>
        <v>0</v>
      </c>
    </row>
    <row r="103" spans="1:18">
      <c r="A103" t="s">
        <v>210</v>
      </c>
      <c r="B103" t="s">
        <v>211</v>
      </c>
      <c r="C103" t="s">
        <v>212</v>
      </c>
      <c r="D103" t="s">
        <v>21</v>
      </c>
      <c r="E103" t="s">
        <v>22</v>
      </c>
      <c r="F103" t="s">
        <v>35</v>
      </c>
      <c r="G103" s="7">
        <v>45677</v>
      </c>
      <c r="H103">
        <v>180</v>
      </c>
      <c r="I103">
        <v>0</v>
      </c>
      <c r="J103" t="s">
        <v>36</v>
      </c>
      <c r="K103" t="s">
        <v>25</v>
      </c>
      <c r="L103" t="s">
        <v>37</v>
      </c>
      <c r="M103">
        <v>28</v>
      </c>
      <c r="N103" t="s">
        <v>30</v>
      </c>
      <c r="O103" t="str">
        <f t="shared" si="4"/>
        <v>2025-01</v>
      </c>
      <c r="P103" t="str">
        <f t="shared" si="5"/>
        <v>High</v>
      </c>
      <c r="Q103" t="str">
        <f t="shared" si="6"/>
        <v>No</v>
      </c>
      <c r="R103" s="10">
        <f t="shared" si="7"/>
        <v>1</v>
      </c>
    </row>
    <row r="104" spans="1:18">
      <c r="A104" t="s">
        <v>1127</v>
      </c>
      <c r="B104" t="s">
        <v>1128</v>
      </c>
      <c r="C104" t="s">
        <v>1129</v>
      </c>
      <c r="D104" t="s">
        <v>49</v>
      </c>
      <c r="E104" t="s">
        <v>22</v>
      </c>
      <c r="F104" t="s">
        <v>43</v>
      </c>
      <c r="G104" s="7">
        <v>45668</v>
      </c>
      <c r="H104">
        <v>41</v>
      </c>
      <c r="I104">
        <v>0</v>
      </c>
      <c r="J104" t="s">
        <v>36</v>
      </c>
      <c r="K104" t="s">
        <v>66</v>
      </c>
      <c r="L104" t="s">
        <v>37</v>
      </c>
      <c r="M104">
        <v>47</v>
      </c>
      <c r="N104" t="s">
        <v>27</v>
      </c>
      <c r="O104" t="str">
        <f t="shared" si="4"/>
        <v>2025-01</v>
      </c>
      <c r="P104" t="str">
        <f t="shared" si="5"/>
        <v>Medium</v>
      </c>
      <c r="Q104" t="str">
        <f t="shared" si="6"/>
        <v>No</v>
      </c>
      <c r="R104" s="10">
        <f t="shared" si="7"/>
        <v>0</v>
      </c>
    </row>
    <row r="105" spans="1:18">
      <c r="A105" t="s">
        <v>818</v>
      </c>
      <c r="B105" t="s">
        <v>819</v>
      </c>
      <c r="C105" t="s">
        <v>820</v>
      </c>
      <c r="D105" t="s">
        <v>49</v>
      </c>
      <c r="E105" t="s">
        <v>42</v>
      </c>
      <c r="F105" t="s">
        <v>73</v>
      </c>
      <c r="G105" s="7">
        <v>45795</v>
      </c>
      <c r="H105">
        <v>90</v>
      </c>
      <c r="I105">
        <v>0</v>
      </c>
      <c r="J105" t="s">
        <v>36</v>
      </c>
      <c r="K105" t="s">
        <v>25</v>
      </c>
      <c r="L105" t="s">
        <v>37</v>
      </c>
      <c r="M105">
        <v>3</v>
      </c>
      <c r="N105" t="s">
        <v>27</v>
      </c>
      <c r="O105" t="str">
        <f t="shared" si="4"/>
        <v>2025-05</v>
      </c>
      <c r="P105" t="str">
        <f t="shared" si="5"/>
        <v>High</v>
      </c>
      <c r="Q105" t="str">
        <f t="shared" si="6"/>
        <v>No</v>
      </c>
      <c r="R105" s="10">
        <f t="shared" si="7"/>
        <v>0</v>
      </c>
    </row>
    <row r="106" spans="1:18">
      <c r="A106" t="s">
        <v>821</v>
      </c>
      <c r="B106" t="s">
        <v>822</v>
      </c>
      <c r="C106" t="s">
        <v>823</v>
      </c>
      <c r="D106" t="s">
        <v>41</v>
      </c>
      <c r="E106" t="s">
        <v>42</v>
      </c>
      <c r="F106" t="s">
        <v>23</v>
      </c>
      <c r="G106" s="7">
        <v>45799</v>
      </c>
      <c r="H106">
        <v>64</v>
      </c>
      <c r="I106">
        <v>0</v>
      </c>
      <c r="J106" t="s">
        <v>36</v>
      </c>
      <c r="K106" t="s">
        <v>25</v>
      </c>
      <c r="L106" t="s">
        <v>37</v>
      </c>
      <c r="M106">
        <v>50</v>
      </c>
      <c r="N106" t="s">
        <v>27</v>
      </c>
      <c r="O106" t="str">
        <f t="shared" si="4"/>
        <v>2025-05</v>
      </c>
      <c r="P106" t="str">
        <f t="shared" si="5"/>
        <v>High</v>
      </c>
      <c r="Q106" t="str">
        <f t="shared" si="6"/>
        <v>No</v>
      </c>
      <c r="R106" s="10">
        <f t="shared" si="7"/>
        <v>0</v>
      </c>
    </row>
    <row r="107" spans="1:18">
      <c r="A107" t="s">
        <v>213</v>
      </c>
      <c r="B107" t="s">
        <v>214</v>
      </c>
      <c r="C107" t="s">
        <v>215</v>
      </c>
      <c r="D107" t="s">
        <v>57</v>
      </c>
      <c r="E107" t="s">
        <v>22</v>
      </c>
      <c r="F107" t="s">
        <v>23</v>
      </c>
      <c r="G107" s="7">
        <v>45685</v>
      </c>
      <c r="H107">
        <v>101</v>
      </c>
      <c r="I107">
        <v>0</v>
      </c>
      <c r="J107" t="s">
        <v>36</v>
      </c>
      <c r="K107" t="s">
        <v>25</v>
      </c>
      <c r="L107" t="s">
        <v>37</v>
      </c>
      <c r="M107">
        <v>6</v>
      </c>
      <c r="N107" t="s">
        <v>27</v>
      </c>
      <c r="O107" t="str">
        <f t="shared" si="4"/>
        <v>2025-01</v>
      </c>
      <c r="P107" t="str">
        <f t="shared" si="5"/>
        <v>High</v>
      </c>
      <c r="Q107" t="str">
        <f t="shared" si="6"/>
        <v>No</v>
      </c>
      <c r="R107" s="10">
        <f t="shared" si="7"/>
        <v>0</v>
      </c>
    </row>
    <row r="108" spans="1:18">
      <c r="A108" t="s">
        <v>1130</v>
      </c>
      <c r="B108" t="s">
        <v>1131</v>
      </c>
      <c r="C108" t="s">
        <v>1132</v>
      </c>
      <c r="D108" t="s">
        <v>57</v>
      </c>
      <c r="E108" t="s">
        <v>34</v>
      </c>
      <c r="F108" t="s">
        <v>58</v>
      </c>
      <c r="G108" s="7">
        <v>45762</v>
      </c>
      <c r="H108">
        <v>21</v>
      </c>
      <c r="I108">
        <v>36.340000000000003</v>
      </c>
      <c r="J108" t="s">
        <v>173</v>
      </c>
      <c r="K108" t="s">
        <v>25</v>
      </c>
      <c r="L108" t="s">
        <v>26</v>
      </c>
      <c r="M108">
        <v>24</v>
      </c>
      <c r="N108" t="s">
        <v>27</v>
      </c>
      <c r="O108" t="str">
        <f t="shared" si="4"/>
        <v>2025-04</v>
      </c>
      <c r="P108" t="str">
        <f t="shared" si="5"/>
        <v>Medium</v>
      </c>
      <c r="Q108" t="str">
        <f t="shared" si="6"/>
        <v>Yes</v>
      </c>
      <c r="R108" s="10">
        <f t="shared" si="7"/>
        <v>0</v>
      </c>
    </row>
    <row r="109" spans="1:18">
      <c r="A109" t="s">
        <v>532</v>
      </c>
      <c r="B109" t="s">
        <v>480</v>
      </c>
      <c r="C109" t="s">
        <v>533</v>
      </c>
      <c r="D109" t="s">
        <v>49</v>
      </c>
      <c r="E109" t="s">
        <v>42</v>
      </c>
      <c r="F109" t="s">
        <v>73</v>
      </c>
      <c r="G109" s="7">
        <v>45747</v>
      </c>
      <c r="H109">
        <v>153</v>
      </c>
      <c r="I109">
        <v>0</v>
      </c>
      <c r="J109" t="s">
        <v>36</v>
      </c>
      <c r="K109" t="s">
        <v>45</v>
      </c>
      <c r="L109" t="s">
        <v>37</v>
      </c>
      <c r="M109">
        <v>25</v>
      </c>
      <c r="N109" t="s">
        <v>30</v>
      </c>
      <c r="O109" t="str">
        <f t="shared" si="4"/>
        <v>2025-03</v>
      </c>
      <c r="P109" t="str">
        <f t="shared" si="5"/>
        <v>High</v>
      </c>
      <c r="Q109" t="str">
        <f t="shared" si="6"/>
        <v>No</v>
      </c>
      <c r="R109" s="10">
        <f t="shared" si="7"/>
        <v>1</v>
      </c>
    </row>
    <row r="110" spans="1:18">
      <c r="A110" t="s">
        <v>983</v>
      </c>
      <c r="B110" t="s">
        <v>926</v>
      </c>
      <c r="C110" t="s">
        <v>984</v>
      </c>
      <c r="D110" t="s">
        <v>49</v>
      </c>
      <c r="E110" t="s">
        <v>34</v>
      </c>
      <c r="F110" t="s">
        <v>43</v>
      </c>
      <c r="G110" s="7">
        <v>45819</v>
      </c>
      <c r="H110">
        <v>153</v>
      </c>
      <c r="I110">
        <v>0</v>
      </c>
      <c r="J110" t="s">
        <v>36</v>
      </c>
      <c r="K110" t="s">
        <v>25</v>
      </c>
      <c r="L110" t="s">
        <v>37</v>
      </c>
      <c r="M110">
        <v>48</v>
      </c>
      <c r="N110" t="s">
        <v>30</v>
      </c>
      <c r="O110" t="str">
        <f t="shared" si="4"/>
        <v>2025-06</v>
      </c>
      <c r="P110" t="str">
        <f t="shared" si="5"/>
        <v>High</v>
      </c>
      <c r="Q110" t="str">
        <f t="shared" si="6"/>
        <v>No</v>
      </c>
      <c r="R110" s="10">
        <f t="shared" si="7"/>
        <v>1</v>
      </c>
    </row>
    <row r="111" spans="1:18">
      <c r="A111" t="s">
        <v>827</v>
      </c>
      <c r="B111" t="s">
        <v>828</v>
      </c>
      <c r="C111" t="s">
        <v>829</v>
      </c>
      <c r="D111" t="s">
        <v>57</v>
      </c>
      <c r="E111" t="s">
        <v>34</v>
      </c>
      <c r="F111" t="s">
        <v>58</v>
      </c>
      <c r="G111" s="7">
        <v>45798</v>
      </c>
      <c r="H111">
        <v>164</v>
      </c>
      <c r="I111">
        <v>0</v>
      </c>
      <c r="J111" t="s">
        <v>36</v>
      </c>
      <c r="K111" t="s">
        <v>45</v>
      </c>
      <c r="L111" t="s">
        <v>26</v>
      </c>
      <c r="M111">
        <v>39</v>
      </c>
      <c r="N111" t="s">
        <v>30</v>
      </c>
      <c r="O111" t="str">
        <f t="shared" si="4"/>
        <v>2025-05</v>
      </c>
      <c r="P111" t="str">
        <f t="shared" si="5"/>
        <v>High</v>
      </c>
      <c r="Q111" t="str">
        <f t="shared" si="6"/>
        <v>No</v>
      </c>
      <c r="R111" s="10">
        <f t="shared" si="7"/>
        <v>1</v>
      </c>
    </row>
    <row r="112" spans="1:18">
      <c r="A112" t="s">
        <v>67</v>
      </c>
      <c r="B112" t="s">
        <v>68</v>
      </c>
      <c r="C112" t="s">
        <v>69</v>
      </c>
      <c r="D112" t="s">
        <v>57</v>
      </c>
      <c r="E112" t="s">
        <v>34</v>
      </c>
      <c r="F112" t="s">
        <v>23</v>
      </c>
      <c r="G112" s="7">
        <v>45656</v>
      </c>
      <c r="H112">
        <v>165</v>
      </c>
      <c r="I112">
        <v>0</v>
      </c>
      <c r="J112" t="s">
        <v>36</v>
      </c>
      <c r="K112" t="s">
        <v>45</v>
      </c>
      <c r="L112" t="s">
        <v>37</v>
      </c>
      <c r="M112">
        <v>48</v>
      </c>
      <c r="N112" t="s">
        <v>30</v>
      </c>
      <c r="O112" t="str">
        <f t="shared" si="4"/>
        <v>2024-12</v>
      </c>
      <c r="P112" t="str">
        <f t="shared" si="5"/>
        <v>High</v>
      </c>
      <c r="Q112" t="str">
        <f t="shared" si="6"/>
        <v>No</v>
      </c>
      <c r="R112" s="10">
        <f t="shared" si="7"/>
        <v>1</v>
      </c>
    </row>
    <row r="113" spans="1:18">
      <c r="A113" t="s">
        <v>830</v>
      </c>
      <c r="B113" t="s">
        <v>831</v>
      </c>
      <c r="C113" t="s">
        <v>832</v>
      </c>
      <c r="D113" t="s">
        <v>57</v>
      </c>
      <c r="E113" t="s">
        <v>22</v>
      </c>
      <c r="F113" t="s">
        <v>23</v>
      </c>
      <c r="G113" s="7">
        <v>45802</v>
      </c>
      <c r="H113">
        <v>172</v>
      </c>
      <c r="I113">
        <v>0</v>
      </c>
      <c r="J113" t="s">
        <v>36</v>
      </c>
      <c r="K113" t="s">
        <v>25</v>
      </c>
      <c r="L113" t="s">
        <v>37</v>
      </c>
      <c r="M113">
        <v>50</v>
      </c>
      <c r="N113" t="s">
        <v>30</v>
      </c>
      <c r="O113" t="str">
        <f t="shared" si="4"/>
        <v>2025-05</v>
      </c>
      <c r="P113" t="str">
        <f t="shared" si="5"/>
        <v>High</v>
      </c>
      <c r="Q113" t="str">
        <f t="shared" si="6"/>
        <v>No</v>
      </c>
      <c r="R113" s="10">
        <f t="shared" si="7"/>
        <v>1</v>
      </c>
    </row>
    <row r="114" spans="1:18">
      <c r="A114" t="s">
        <v>1133</v>
      </c>
      <c r="B114" t="s">
        <v>1134</v>
      </c>
      <c r="C114" t="s">
        <v>1135</v>
      </c>
      <c r="D114" t="s">
        <v>57</v>
      </c>
      <c r="E114" t="s">
        <v>34</v>
      </c>
      <c r="F114" t="s">
        <v>58</v>
      </c>
      <c r="G114" s="7">
        <v>45715</v>
      </c>
      <c r="H114">
        <v>33</v>
      </c>
      <c r="I114">
        <v>0</v>
      </c>
      <c r="J114" t="s">
        <v>36</v>
      </c>
      <c r="K114" t="s">
        <v>25</v>
      </c>
      <c r="L114" t="s">
        <v>37</v>
      </c>
      <c r="M114">
        <v>46</v>
      </c>
      <c r="N114" t="s">
        <v>27</v>
      </c>
      <c r="O114" t="str">
        <f t="shared" si="4"/>
        <v>2025-02</v>
      </c>
      <c r="P114" t="str">
        <f t="shared" si="5"/>
        <v>Medium</v>
      </c>
      <c r="Q114" t="str">
        <f t="shared" si="6"/>
        <v>No</v>
      </c>
      <c r="R114" s="10">
        <f t="shared" si="7"/>
        <v>0</v>
      </c>
    </row>
    <row r="115" spans="1:18">
      <c r="A115" t="s">
        <v>74</v>
      </c>
      <c r="B115" t="s">
        <v>75</v>
      </c>
      <c r="C115" t="s">
        <v>76</v>
      </c>
      <c r="D115" t="s">
        <v>21</v>
      </c>
      <c r="E115" t="s">
        <v>22</v>
      </c>
      <c r="F115" t="s">
        <v>23</v>
      </c>
      <c r="G115" s="7">
        <v>45644</v>
      </c>
      <c r="H115">
        <v>89</v>
      </c>
      <c r="I115">
        <v>30.92</v>
      </c>
      <c r="J115" t="s">
        <v>24</v>
      </c>
      <c r="K115" t="s">
        <v>25</v>
      </c>
      <c r="L115" t="s">
        <v>26</v>
      </c>
      <c r="M115">
        <v>48</v>
      </c>
      <c r="N115" t="s">
        <v>27</v>
      </c>
      <c r="O115" t="str">
        <f t="shared" si="4"/>
        <v>2024-12</v>
      </c>
      <c r="P115" t="str">
        <f t="shared" si="5"/>
        <v>High</v>
      </c>
      <c r="Q115" t="str">
        <f t="shared" si="6"/>
        <v>Yes</v>
      </c>
      <c r="R115" s="10">
        <f t="shared" si="7"/>
        <v>0</v>
      </c>
    </row>
    <row r="116" spans="1:18">
      <c r="A116" t="s">
        <v>1136</v>
      </c>
      <c r="B116" t="s">
        <v>1137</v>
      </c>
      <c r="C116" t="s">
        <v>1138</v>
      </c>
      <c r="D116" t="s">
        <v>21</v>
      </c>
      <c r="E116" t="s">
        <v>22</v>
      </c>
      <c r="F116" t="s">
        <v>80</v>
      </c>
      <c r="G116" s="7">
        <v>45703</v>
      </c>
      <c r="H116">
        <v>22</v>
      </c>
      <c r="I116">
        <v>28.43</v>
      </c>
      <c r="J116" t="s">
        <v>44</v>
      </c>
      <c r="K116" t="s">
        <v>45</v>
      </c>
      <c r="L116" t="s">
        <v>26</v>
      </c>
      <c r="M116">
        <v>36</v>
      </c>
      <c r="N116" t="s">
        <v>27</v>
      </c>
      <c r="O116" t="str">
        <f t="shared" si="4"/>
        <v>2025-02</v>
      </c>
      <c r="P116" t="str">
        <f t="shared" si="5"/>
        <v>Medium</v>
      </c>
      <c r="Q116" t="str">
        <f t="shared" si="6"/>
        <v>Yes</v>
      </c>
      <c r="R116" s="10">
        <f t="shared" si="7"/>
        <v>0</v>
      </c>
    </row>
    <row r="117" spans="1:18">
      <c r="A117" t="s">
        <v>644</v>
      </c>
      <c r="B117" t="s">
        <v>645</v>
      </c>
      <c r="C117" t="s">
        <v>646</v>
      </c>
      <c r="D117" t="s">
        <v>21</v>
      </c>
      <c r="E117" t="s">
        <v>42</v>
      </c>
      <c r="F117" t="s">
        <v>43</v>
      </c>
      <c r="G117" s="7">
        <v>45749</v>
      </c>
      <c r="H117">
        <v>65</v>
      </c>
      <c r="I117">
        <v>0</v>
      </c>
      <c r="J117" t="s">
        <v>36</v>
      </c>
      <c r="K117" t="s">
        <v>25</v>
      </c>
      <c r="L117" t="s">
        <v>37</v>
      </c>
      <c r="M117">
        <v>8</v>
      </c>
      <c r="N117" t="s">
        <v>27</v>
      </c>
      <c r="O117" t="str">
        <f t="shared" si="4"/>
        <v>2025-04</v>
      </c>
      <c r="P117" t="str">
        <f t="shared" si="5"/>
        <v>High</v>
      </c>
      <c r="Q117" t="str">
        <f t="shared" si="6"/>
        <v>No</v>
      </c>
      <c r="R117" s="10">
        <f t="shared" si="7"/>
        <v>0</v>
      </c>
    </row>
    <row r="118" spans="1:18">
      <c r="A118" t="s">
        <v>1139</v>
      </c>
      <c r="B118" t="s">
        <v>1140</v>
      </c>
      <c r="C118" t="s">
        <v>1141</v>
      </c>
      <c r="D118" t="s">
        <v>57</v>
      </c>
      <c r="E118" t="s">
        <v>34</v>
      </c>
      <c r="F118" t="s">
        <v>80</v>
      </c>
      <c r="G118" s="7">
        <v>45707</v>
      </c>
      <c r="H118">
        <v>22</v>
      </c>
      <c r="I118">
        <v>0</v>
      </c>
      <c r="J118" t="s">
        <v>36</v>
      </c>
      <c r="K118" t="s">
        <v>25</v>
      </c>
      <c r="L118" t="s">
        <v>37</v>
      </c>
      <c r="M118">
        <v>7</v>
      </c>
      <c r="N118" t="s">
        <v>27</v>
      </c>
      <c r="O118" t="str">
        <f t="shared" si="4"/>
        <v>2025-02</v>
      </c>
      <c r="P118" t="str">
        <f t="shared" si="5"/>
        <v>Medium</v>
      </c>
      <c r="Q118" t="str">
        <f t="shared" si="6"/>
        <v>No</v>
      </c>
      <c r="R118" s="10">
        <f t="shared" si="7"/>
        <v>0</v>
      </c>
    </row>
    <row r="119" spans="1:18">
      <c r="A119" t="s">
        <v>836</v>
      </c>
      <c r="B119" t="s">
        <v>837</v>
      </c>
      <c r="C119" t="s">
        <v>838</v>
      </c>
      <c r="D119" t="s">
        <v>49</v>
      </c>
      <c r="E119" t="s">
        <v>22</v>
      </c>
      <c r="F119" t="s">
        <v>43</v>
      </c>
      <c r="G119" s="7">
        <v>45791</v>
      </c>
      <c r="H119">
        <v>98</v>
      </c>
      <c r="I119">
        <v>0</v>
      </c>
      <c r="J119" t="s">
        <v>36</v>
      </c>
      <c r="K119" t="s">
        <v>45</v>
      </c>
      <c r="L119" t="s">
        <v>37</v>
      </c>
      <c r="M119">
        <v>7</v>
      </c>
      <c r="N119" t="s">
        <v>27</v>
      </c>
      <c r="O119" t="str">
        <f t="shared" si="4"/>
        <v>2025-05</v>
      </c>
      <c r="P119" t="str">
        <f t="shared" si="5"/>
        <v>High</v>
      </c>
      <c r="Q119" t="str">
        <f t="shared" si="6"/>
        <v>No</v>
      </c>
      <c r="R119" s="10">
        <f t="shared" si="7"/>
        <v>0</v>
      </c>
    </row>
    <row r="120" spans="1:18">
      <c r="A120" t="s">
        <v>839</v>
      </c>
      <c r="B120" t="s">
        <v>840</v>
      </c>
      <c r="C120" t="s">
        <v>841</v>
      </c>
      <c r="D120" t="s">
        <v>57</v>
      </c>
      <c r="E120" t="s">
        <v>42</v>
      </c>
      <c r="F120" t="s">
        <v>58</v>
      </c>
      <c r="G120" s="7">
        <v>45781</v>
      </c>
      <c r="H120">
        <v>63</v>
      </c>
      <c r="I120">
        <v>0</v>
      </c>
      <c r="J120" t="s">
        <v>36</v>
      </c>
      <c r="K120" t="s">
        <v>25</v>
      </c>
      <c r="L120" t="s">
        <v>37</v>
      </c>
      <c r="M120">
        <v>13</v>
      </c>
      <c r="N120" t="s">
        <v>27</v>
      </c>
      <c r="O120" t="str">
        <f t="shared" si="4"/>
        <v>2025-05</v>
      </c>
      <c r="P120" t="str">
        <f t="shared" si="5"/>
        <v>High</v>
      </c>
      <c r="Q120" t="str">
        <f t="shared" si="6"/>
        <v>No</v>
      </c>
      <c r="R120" s="10">
        <f t="shared" si="7"/>
        <v>0</v>
      </c>
    </row>
    <row r="121" spans="1:18">
      <c r="A121" t="s">
        <v>1142</v>
      </c>
      <c r="B121" t="s">
        <v>1143</v>
      </c>
      <c r="C121" t="s">
        <v>1144</v>
      </c>
      <c r="D121" t="s">
        <v>41</v>
      </c>
      <c r="E121" t="s">
        <v>34</v>
      </c>
      <c r="F121" t="s">
        <v>58</v>
      </c>
      <c r="G121" s="7">
        <v>45726</v>
      </c>
      <c r="H121">
        <v>45</v>
      </c>
      <c r="I121">
        <v>31.67</v>
      </c>
      <c r="J121" t="s">
        <v>173</v>
      </c>
      <c r="K121" t="s">
        <v>25</v>
      </c>
      <c r="L121" t="s">
        <v>26</v>
      </c>
      <c r="M121">
        <v>45</v>
      </c>
      <c r="N121" t="s">
        <v>27</v>
      </c>
      <c r="O121" t="str">
        <f t="shared" si="4"/>
        <v>2025-03</v>
      </c>
      <c r="P121" t="str">
        <f t="shared" si="5"/>
        <v>Medium</v>
      </c>
      <c r="Q121" t="str">
        <f t="shared" si="6"/>
        <v>Yes</v>
      </c>
      <c r="R121" s="10">
        <f t="shared" si="7"/>
        <v>0</v>
      </c>
    </row>
    <row r="122" spans="1:18">
      <c r="A122" t="s">
        <v>219</v>
      </c>
      <c r="B122" t="s">
        <v>220</v>
      </c>
      <c r="C122" t="s">
        <v>221</v>
      </c>
      <c r="D122" t="s">
        <v>41</v>
      </c>
      <c r="E122" t="s">
        <v>42</v>
      </c>
      <c r="F122" t="s">
        <v>58</v>
      </c>
      <c r="G122" s="7">
        <v>45688</v>
      </c>
      <c r="H122">
        <v>142</v>
      </c>
      <c r="I122">
        <v>0</v>
      </c>
      <c r="J122" t="s">
        <v>36</v>
      </c>
      <c r="K122" t="s">
        <v>25</v>
      </c>
      <c r="L122" t="s">
        <v>37</v>
      </c>
      <c r="M122">
        <v>3</v>
      </c>
      <c r="N122" t="s">
        <v>27</v>
      </c>
      <c r="O122" t="str">
        <f t="shared" si="4"/>
        <v>2025-01</v>
      </c>
      <c r="P122" t="str">
        <f t="shared" si="5"/>
        <v>High</v>
      </c>
      <c r="Q122" t="str">
        <f t="shared" si="6"/>
        <v>No</v>
      </c>
      <c r="R122" s="10">
        <f t="shared" si="7"/>
        <v>0</v>
      </c>
    </row>
    <row r="123" spans="1:18">
      <c r="A123" t="s">
        <v>1145</v>
      </c>
      <c r="B123" t="s">
        <v>1146</v>
      </c>
      <c r="C123" t="s">
        <v>1147</v>
      </c>
      <c r="D123" t="s">
        <v>62</v>
      </c>
      <c r="E123" t="s">
        <v>42</v>
      </c>
      <c r="F123" t="s">
        <v>23</v>
      </c>
      <c r="G123" s="7">
        <v>45817</v>
      </c>
      <c r="H123">
        <v>56</v>
      </c>
      <c r="I123">
        <v>4.07</v>
      </c>
      <c r="J123" t="s">
        <v>173</v>
      </c>
      <c r="K123" t="s">
        <v>25</v>
      </c>
      <c r="L123" t="s">
        <v>26</v>
      </c>
      <c r="M123">
        <v>45</v>
      </c>
      <c r="N123" t="s">
        <v>27</v>
      </c>
      <c r="O123" t="str">
        <f t="shared" si="4"/>
        <v>2025-06</v>
      </c>
      <c r="P123" t="str">
        <f t="shared" si="5"/>
        <v>Medium</v>
      </c>
      <c r="Q123" t="str">
        <f t="shared" si="6"/>
        <v>Yes</v>
      </c>
      <c r="R123" s="10">
        <f t="shared" si="7"/>
        <v>0</v>
      </c>
    </row>
    <row r="124" spans="1:18">
      <c r="A124" t="s">
        <v>77</v>
      </c>
      <c r="B124" t="s">
        <v>78</v>
      </c>
      <c r="C124" t="s">
        <v>79</v>
      </c>
      <c r="D124" t="s">
        <v>21</v>
      </c>
      <c r="E124" t="s">
        <v>22</v>
      </c>
      <c r="F124" t="s">
        <v>80</v>
      </c>
      <c r="G124" s="7">
        <v>45648</v>
      </c>
      <c r="H124">
        <v>156</v>
      </c>
      <c r="I124">
        <v>0</v>
      </c>
      <c r="J124" t="s">
        <v>36</v>
      </c>
      <c r="K124" t="s">
        <v>25</v>
      </c>
      <c r="L124" t="s">
        <v>26</v>
      </c>
      <c r="M124">
        <v>45</v>
      </c>
      <c r="N124" t="s">
        <v>30</v>
      </c>
      <c r="O124" t="str">
        <f t="shared" si="4"/>
        <v>2024-12</v>
      </c>
      <c r="P124" t="str">
        <f t="shared" si="5"/>
        <v>High</v>
      </c>
      <c r="Q124" t="str">
        <f t="shared" si="6"/>
        <v>No</v>
      </c>
      <c r="R124" s="10">
        <f t="shared" si="7"/>
        <v>1</v>
      </c>
    </row>
    <row r="125" spans="1:18">
      <c r="A125" t="s">
        <v>222</v>
      </c>
      <c r="B125" t="s">
        <v>223</v>
      </c>
      <c r="C125" t="s">
        <v>224</v>
      </c>
      <c r="D125" t="s">
        <v>49</v>
      </c>
      <c r="E125" t="s">
        <v>34</v>
      </c>
      <c r="F125" t="s">
        <v>80</v>
      </c>
      <c r="G125" s="7">
        <v>45667</v>
      </c>
      <c r="H125">
        <v>123</v>
      </c>
      <c r="I125">
        <v>0</v>
      </c>
      <c r="J125" t="s">
        <v>36</v>
      </c>
      <c r="K125" t="s">
        <v>45</v>
      </c>
      <c r="L125" t="s">
        <v>37</v>
      </c>
      <c r="M125">
        <v>12</v>
      </c>
      <c r="N125" t="s">
        <v>27</v>
      </c>
      <c r="O125" t="str">
        <f t="shared" si="4"/>
        <v>2025-01</v>
      </c>
      <c r="P125" t="str">
        <f t="shared" si="5"/>
        <v>High</v>
      </c>
      <c r="Q125" t="str">
        <f t="shared" si="6"/>
        <v>No</v>
      </c>
      <c r="R125" s="10">
        <f t="shared" si="7"/>
        <v>0</v>
      </c>
    </row>
    <row r="126" spans="1:18">
      <c r="A126" t="s">
        <v>985</v>
      </c>
      <c r="B126" t="s">
        <v>986</v>
      </c>
      <c r="C126" t="s">
        <v>987</v>
      </c>
      <c r="D126" t="s">
        <v>21</v>
      </c>
      <c r="E126" t="s">
        <v>34</v>
      </c>
      <c r="F126" t="s">
        <v>80</v>
      </c>
      <c r="G126" s="7">
        <v>45819</v>
      </c>
      <c r="H126">
        <v>172</v>
      </c>
      <c r="I126">
        <v>0</v>
      </c>
      <c r="J126" t="s">
        <v>36</v>
      </c>
      <c r="K126" t="s">
        <v>66</v>
      </c>
      <c r="L126" t="s">
        <v>37</v>
      </c>
      <c r="M126">
        <v>21</v>
      </c>
      <c r="N126" t="s">
        <v>30</v>
      </c>
      <c r="O126" t="str">
        <f t="shared" si="4"/>
        <v>2025-06</v>
      </c>
      <c r="P126" t="str">
        <f t="shared" si="5"/>
        <v>High</v>
      </c>
      <c r="Q126" t="str">
        <f t="shared" si="6"/>
        <v>No</v>
      </c>
      <c r="R126" s="10">
        <f t="shared" si="7"/>
        <v>1</v>
      </c>
    </row>
    <row r="127" spans="1:18">
      <c r="A127" t="s">
        <v>1148</v>
      </c>
      <c r="B127" t="s">
        <v>1149</v>
      </c>
      <c r="C127" t="s">
        <v>1150</v>
      </c>
      <c r="D127" t="s">
        <v>21</v>
      </c>
      <c r="E127" t="s">
        <v>22</v>
      </c>
      <c r="F127" t="s">
        <v>35</v>
      </c>
      <c r="G127" s="7">
        <v>45686</v>
      </c>
      <c r="H127">
        <v>46</v>
      </c>
      <c r="I127">
        <v>14.47</v>
      </c>
      <c r="J127" t="s">
        <v>24</v>
      </c>
      <c r="K127" t="s">
        <v>66</v>
      </c>
      <c r="L127" t="s">
        <v>26</v>
      </c>
      <c r="M127">
        <v>30</v>
      </c>
      <c r="N127" t="s">
        <v>27</v>
      </c>
      <c r="O127" t="str">
        <f t="shared" si="4"/>
        <v>2025-01</v>
      </c>
      <c r="P127" t="str">
        <f t="shared" si="5"/>
        <v>Medium</v>
      </c>
      <c r="Q127" t="str">
        <f t="shared" si="6"/>
        <v>Yes</v>
      </c>
      <c r="R127" s="10">
        <f t="shared" si="7"/>
        <v>0</v>
      </c>
    </row>
    <row r="128" spans="1:18">
      <c r="A128" t="s">
        <v>225</v>
      </c>
      <c r="B128" t="s">
        <v>226</v>
      </c>
      <c r="C128" t="s">
        <v>227</v>
      </c>
      <c r="D128" t="s">
        <v>57</v>
      </c>
      <c r="E128" t="s">
        <v>42</v>
      </c>
      <c r="F128" t="s">
        <v>73</v>
      </c>
      <c r="G128" s="7">
        <v>45661</v>
      </c>
      <c r="H128">
        <v>153</v>
      </c>
      <c r="I128">
        <v>0</v>
      </c>
      <c r="J128" t="s">
        <v>36</v>
      </c>
      <c r="K128" t="s">
        <v>66</v>
      </c>
      <c r="L128" t="s">
        <v>37</v>
      </c>
      <c r="M128">
        <v>15</v>
      </c>
      <c r="N128" t="s">
        <v>30</v>
      </c>
      <c r="O128" t="str">
        <f t="shared" si="4"/>
        <v>2025-01</v>
      </c>
      <c r="P128" t="str">
        <f t="shared" si="5"/>
        <v>High</v>
      </c>
      <c r="Q128" t="str">
        <f t="shared" si="6"/>
        <v>No</v>
      </c>
      <c r="R128" s="10">
        <f t="shared" si="7"/>
        <v>1</v>
      </c>
    </row>
    <row r="129" spans="1:18">
      <c r="A129" t="s">
        <v>988</v>
      </c>
      <c r="B129" t="s">
        <v>989</v>
      </c>
      <c r="C129" t="s">
        <v>990</v>
      </c>
      <c r="D129" t="s">
        <v>57</v>
      </c>
      <c r="E129" t="s">
        <v>22</v>
      </c>
      <c r="F129" t="s">
        <v>43</v>
      </c>
      <c r="G129" s="7">
        <v>45815</v>
      </c>
      <c r="H129">
        <v>128</v>
      </c>
      <c r="I129">
        <v>0</v>
      </c>
      <c r="J129" t="s">
        <v>36</v>
      </c>
      <c r="K129" t="s">
        <v>45</v>
      </c>
      <c r="L129" t="s">
        <v>37</v>
      </c>
      <c r="M129">
        <v>32</v>
      </c>
      <c r="N129" t="s">
        <v>27</v>
      </c>
      <c r="O129" t="str">
        <f t="shared" si="4"/>
        <v>2025-06</v>
      </c>
      <c r="P129" t="str">
        <f t="shared" si="5"/>
        <v>High</v>
      </c>
      <c r="Q129" t="str">
        <f t="shared" si="6"/>
        <v>No</v>
      </c>
      <c r="R129" s="10">
        <f t="shared" si="7"/>
        <v>0</v>
      </c>
    </row>
    <row r="130" spans="1:18">
      <c r="A130" t="s">
        <v>1151</v>
      </c>
      <c r="B130" t="s">
        <v>1152</v>
      </c>
      <c r="C130" t="s">
        <v>1153</v>
      </c>
      <c r="D130" t="s">
        <v>21</v>
      </c>
      <c r="E130" t="s">
        <v>34</v>
      </c>
      <c r="F130" t="s">
        <v>80</v>
      </c>
      <c r="G130" s="7">
        <v>45814</v>
      </c>
      <c r="H130">
        <v>54</v>
      </c>
      <c r="I130">
        <v>0</v>
      </c>
      <c r="J130" t="s">
        <v>36</v>
      </c>
      <c r="K130" t="s">
        <v>25</v>
      </c>
      <c r="L130" t="s">
        <v>37</v>
      </c>
      <c r="M130">
        <v>15</v>
      </c>
      <c r="N130" t="s">
        <v>27</v>
      </c>
      <c r="O130" t="str">
        <f t="shared" si="4"/>
        <v>2025-06</v>
      </c>
      <c r="P130" t="str">
        <f t="shared" si="5"/>
        <v>Medium</v>
      </c>
      <c r="Q130" t="str">
        <f t="shared" si="6"/>
        <v>No</v>
      </c>
      <c r="R130" s="10">
        <f t="shared" si="7"/>
        <v>0</v>
      </c>
    </row>
    <row r="131" spans="1:18">
      <c r="A131" t="s">
        <v>228</v>
      </c>
      <c r="B131" t="s">
        <v>229</v>
      </c>
      <c r="C131" t="s">
        <v>230</v>
      </c>
      <c r="D131" t="s">
        <v>21</v>
      </c>
      <c r="E131" t="s">
        <v>22</v>
      </c>
      <c r="F131" t="s">
        <v>35</v>
      </c>
      <c r="G131" s="7">
        <v>45670</v>
      </c>
      <c r="H131">
        <v>133</v>
      </c>
      <c r="I131">
        <v>0</v>
      </c>
      <c r="J131" t="s">
        <v>36</v>
      </c>
      <c r="K131" t="s">
        <v>25</v>
      </c>
      <c r="L131" t="s">
        <v>37</v>
      </c>
      <c r="M131">
        <v>35</v>
      </c>
      <c r="N131" t="s">
        <v>27</v>
      </c>
      <c r="O131" t="str">
        <f t="shared" ref="O131:O194" si="8">TEXT(G131,"yyyy-mm")</f>
        <v>2025-01</v>
      </c>
      <c r="P131" t="str">
        <f t="shared" ref="P131:P194" si="9">IF(H131&lt;20,"Low",IF(H131&lt;=60,"Medium","High"))</f>
        <v>High</v>
      </c>
      <c r="Q131" t="str">
        <f t="shared" ref="Q131:Q194" si="10">IF(I131&gt;0,"Yes","No")</f>
        <v>No</v>
      </c>
      <c r="R131" s="10">
        <f t="shared" ref="R131:R194" si="11">IF(N131="Yes",1,0)</f>
        <v>0</v>
      </c>
    </row>
    <row r="132" spans="1:18">
      <c r="A132" t="s">
        <v>845</v>
      </c>
      <c r="B132" t="s">
        <v>846</v>
      </c>
      <c r="C132" t="s">
        <v>847</v>
      </c>
      <c r="D132" t="s">
        <v>41</v>
      </c>
      <c r="E132" t="s">
        <v>22</v>
      </c>
      <c r="F132" t="s">
        <v>80</v>
      </c>
      <c r="G132" s="7">
        <v>45778</v>
      </c>
      <c r="H132">
        <v>116</v>
      </c>
      <c r="I132">
        <v>0</v>
      </c>
      <c r="J132" t="s">
        <v>36</v>
      </c>
      <c r="K132" t="s">
        <v>45</v>
      </c>
      <c r="L132" t="s">
        <v>37</v>
      </c>
      <c r="M132">
        <v>30</v>
      </c>
      <c r="N132" t="s">
        <v>27</v>
      </c>
      <c r="O132" t="str">
        <f t="shared" si="8"/>
        <v>2025-05</v>
      </c>
      <c r="P132" t="str">
        <f t="shared" si="9"/>
        <v>High</v>
      </c>
      <c r="Q132" t="str">
        <f t="shared" si="10"/>
        <v>No</v>
      </c>
      <c r="R132" s="10">
        <f t="shared" si="11"/>
        <v>0</v>
      </c>
    </row>
    <row r="133" spans="1:18">
      <c r="A133" t="s">
        <v>84</v>
      </c>
      <c r="B133" t="s">
        <v>85</v>
      </c>
      <c r="C133" t="s">
        <v>86</v>
      </c>
      <c r="D133" t="s">
        <v>21</v>
      </c>
      <c r="E133" t="s">
        <v>42</v>
      </c>
      <c r="F133" t="s">
        <v>43</v>
      </c>
      <c r="G133" s="7">
        <v>45644</v>
      </c>
      <c r="H133">
        <v>95</v>
      </c>
      <c r="I133">
        <v>0</v>
      </c>
      <c r="J133" t="s">
        <v>36</v>
      </c>
      <c r="K133" t="s">
        <v>25</v>
      </c>
      <c r="L133" t="s">
        <v>37</v>
      </c>
      <c r="M133">
        <v>20</v>
      </c>
      <c r="N133" t="s">
        <v>27</v>
      </c>
      <c r="O133" t="str">
        <f t="shared" si="8"/>
        <v>2024-12</v>
      </c>
      <c r="P133" t="str">
        <f t="shared" si="9"/>
        <v>High</v>
      </c>
      <c r="Q133" t="str">
        <f t="shared" si="10"/>
        <v>No</v>
      </c>
      <c r="R133" s="10">
        <f t="shared" si="11"/>
        <v>0</v>
      </c>
    </row>
    <row r="134" spans="1:18">
      <c r="A134" t="s">
        <v>87</v>
      </c>
      <c r="B134" t="s">
        <v>88</v>
      </c>
      <c r="C134" t="s">
        <v>89</v>
      </c>
      <c r="D134" t="s">
        <v>62</v>
      </c>
      <c r="E134" t="s">
        <v>34</v>
      </c>
      <c r="F134" t="s">
        <v>58</v>
      </c>
      <c r="G134" s="7">
        <v>45648</v>
      </c>
      <c r="H134">
        <v>107</v>
      </c>
      <c r="I134">
        <v>0</v>
      </c>
      <c r="J134" t="s">
        <v>36</v>
      </c>
      <c r="K134" t="s">
        <v>53</v>
      </c>
      <c r="L134" t="s">
        <v>37</v>
      </c>
      <c r="M134">
        <v>7</v>
      </c>
      <c r="N134" t="s">
        <v>27</v>
      </c>
      <c r="O134" t="str">
        <f t="shared" si="8"/>
        <v>2024-12</v>
      </c>
      <c r="P134" t="str">
        <f t="shared" si="9"/>
        <v>High</v>
      </c>
      <c r="Q134" t="str">
        <f t="shared" si="10"/>
        <v>No</v>
      </c>
      <c r="R134" s="10">
        <f t="shared" si="11"/>
        <v>0</v>
      </c>
    </row>
    <row r="135" spans="1:18">
      <c r="A135" t="s">
        <v>647</v>
      </c>
      <c r="B135" t="s">
        <v>648</v>
      </c>
      <c r="C135" t="s">
        <v>649</v>
      </c>
      <c r="D135" t="s">
        <v>62</v>
      </c>
      <c r="E135" t="s">
        <v>34</v>
      </c>
      <c r="F135" t="s">
        <v>58</v>
      </c>
      <c r="G135" s="7">
        <v>45748</v>
      </c>
      <c r="H135">
        <v>150</v>
      </c>
      <c r="I135">
        <v>0</v>
      </c>
      <c r="J135" t="s">
        <v>36</v>
      </c>
      <c r="K135" t="s">
        <v>25</v>
      </c>
      <c r="L135" t="s">
        <v>37</v>
      </c>
      <c r="M135">
        <v>47</v>
      </c>
      <c r="N135" t="s">
        <v>27</v>
      </c>
      <c r="O135" t="str">
        <f t="shared" si="8"/>
        <v>2025-04</v>
      </c>
      <c r="P135" t="str">
        <f t="shared" si="9"/>
        <v>High</v>
      </c>
      <c r="Q135" t="str">
        <f t="shared" si="10"/>
        <v>No</v>
      </c>
      <c r="R135" s="10">
        <f t="shared" si="11"/>
        <v>0</v>
      </c>
    </row>
    <row r="136" spans="1:18">
      <c r="A136" t="s">
        <v>231</v>
      </c>
      <c r="B136" t="s">
        <v>232</v>
      </c>
      <c r="C136" t="s">
        <v>233</v>
      </c>
      <c r="D136" t="s">
        <v>62</v>
      </c>
      <c r="E136" t="s">
        <v>34</v>
      </c>
      <c r="F136" t="s">
        <v>35</v>
      </c>
      <c r="G136" s="7">
        <v>45658</v>
      </c>
      <c r="H136">
        <v>175</v>
      </c>
      <c r="I136">
        <v>0</v>
      </c>
      <c r="J136" t="s">
        <v>36</v>
      </c>
      <c r="K136" t="s">
        <v>25</v>
      </c>
      <c r="L136" t="s">
        <v>37</v>
      </c>
      <c r="M136">
        <v>49</v>
      </c>
      <c r="N136" t="s">
        <v>30</v>
      </c>
      <c r="O136" t="str">
        <f t="shared" si="8"/>
        <v>2025-01</v>
      </c>
      <c r="P136" t="str">
        <f t="shared" si="9"/>
        <v>High</v>
      </c>
      <c r="Q136" t="str">
        <f t="shared" si="10"/>
        <v>No</v>
      </c>
      <c r="R136" s="10">
        <f t="shared" si="11"/>
        <v>1</v>
      </c>
    </row>
    <row r="137" spans="1:18">
      <c r="A137" t="s">
        <v>1154</v>
      </c>
      <c r="B137" t="s">
        <v>1155</v>
      </c>
      <c r="C137" t="s">
        <v>1156</v>
      </c>
      <c r="D137" t="s">
        <v>21</v>
      </c>
      <c r="E137" t="s">
        <v>34</v>
      </c>
      <c r="F137" t="s">
        <v>58</v>
      </c>
      <c r="G137" s="7">
        <v>45679</v>
      </c>
      <c r="H137">
        <v>26</v>
      </c>
      <c r="I137">
        <v>23.57</v>
      </c>
      <c r="J137" t="s">
        <v>44</v>
      </c>
      <c r="K137" t="s">
        <v>25</v>
      </c>
      <c r="L137" t="s">
        <v>26</v>
      </c>
      <c r="M137">
        <v>10</v>
      </c>
      <c r="N137" t="s">
        <v>27</v>
      </c>
      <c r="O137" t="str">
        <f t="shared" si="8"/>
        <v>2025-01</v>
      </c>
      <c r="P137" t="str">
        <f t="shared" si="9"/>
        <v>Medium</v>
      </c>
      <c r="Q137" t="str">
        <f t="shared" si="10"/>
        <v>Yes</v>
      </c>
      <c r="R137" s="10">
        <f t="shared" si="11"/>
        <v>0</v>
      </c>
    </row>
    <row r="138" spans="1:18">
      <c r="A138" t="s">
        <v>848</v>
      </c>
      <c r="B138" t="s">
        <v>849</v>
      </c>
      <c r="C138" t="s">
        <v>850</v>
      </c>
      <c r="D138" t="s">
        <v>62</v>
      </c>
      <c r="E138" t="s">
        <v>34</v>
      </c>
      <c r="F138" t="s">
        <v>23</v>
      </c>
      <c r="G138" s="7">
        <v>45794</v>
      </c>
      <c r="H138">
        <v>115</v>
      </c>
      <c r="I138">
        <v>0</v>
      </c>
      <c r="J138" t="s">
        <v>36</v>
      </c>
      <c r="K138" t="s">
        <v>45</v>
      </c>
      <c r="L138" t="s">
        <v>37</v>
      </c>
      <c r="M138">
        <v>42</v>
      </c>
      <c r="N138" t="s">
        <v>27</v>
      </c>
      <c r="O138" t="str">
        <f t="shared" si="8"/>
        <v>2025-05</v>
      </c>
      <c r="P138" t="str">
        <f t="shared" si="9"/>
        <v>High</v>
      </c>
      <c r="Q138" t="str">
        <f t="shared" si="10"/>
        <v>No</v>
      </c>
      <c r="R138" s="10">
        <f t="shared" si="11"/>
        <v>0</v>
      </c>
    </row>
    <row r="139" spans="1:18">
      <c r="A139" t="s">
        <v>653</v>
      </c>
      <c r="B139" t="s">
        <v>214</v>
      </c>
      <c r="C139" t="s">
        <v>654</v>
      </c>
      <c r="D139" t="s">
        <v>57</v>
      </c>
      <c r="E139" t="s">
        <v>34</v>
      </c>
      <c r="F139" t="s">
        <v>58</v>
      </c>
      <c r="G139" s="7">
        <v>45774</v>
      </c>
      <c r="H139">
        <v>72</v>
      </c>
      <c r="I139">
        <v>0</v>
      </c>
      <c r="J139" t="s">
        <v>36</v>
      </c>
      <c r="K139" t="s">
        <v>25</v>
      </c>
      <c r="L139" t="s">
        <v>26</v>
      </c>
      <c r="M139">
        <v>6</v>
      </c>
      <c r="N139" t="s">
        <v>27</v>
      </c>
      <c r="O139" t="str">
        <f t="shared" si="8"/>
        <v>2025-04</v>
      </c>
      <c r="P139" t="str">
        <f t="shared" si="9"/>
        <v>High</v>
      </c>
      <c r="Q139" t="str">
        <f t="shared" si="10"/>
        <v>No</v>
      </c>
      <c r="R139" s="10">
        <f t="shared" si="11"/>
        <v>0</v>
      </c>
    </row>
    <row r="140" spans="1:18">
      <c r="A140" t="s">
        <v>991</v>
      </c>
      <c r="B140" t="s">
        <v>992</v>
      </c>
      <c r="C140" t="s">
        <v>993</v>
      </c>
      <c r="D140" t="s">
        <v>41</v>
      </c>
      <c r="E140" t="s">
        <v>42</v>
      </c>
      <c r="F140" t="s">
        <v>73</v>
      </c>
      <c r="G140" s="7">
        <v>45814</v>
      </c>
      <c r="H140">
        <v>137</v>
      </c>
      <c r="I140">
        <v>0</v>
      </c>
      <c r="J140" t="s">
        <v>36</v>
      </c>
      <c r="K140" t="s">
        <v>53</v>
      </c>
      <c r="L140" t="s">
        <v>37</v>
      </c>
      <c r="M140">
        <v>28</v>
      </c>
      <c r="N140" t="s">
        <v>27</v>
      </c>
      <c r="O140" t="str">
        <f t="shared" si="8"/>
        <v>2025-06</v>
      </c>
      <c r="P140" t="str">
        <f t="shared" si="9"/>
        <v>High</v>
      </c>
      <c r="Q140" t="str">
        <f t="shared" si="10"/>
        <v>No</v>
      </c>
      <c r="R140" s="10">
        <f t="shared" si="11"/>
        <v>0</v>
      </c>
    </row>
    <row r="141" spans="1:18">
      <c r="A141" t="s">
        <v>655</v>
      </c>
      <c r="B141" t="s">
        <v>656</v>
      </c>
      <c r="C141" t="s">
        <v>657</v>
      </c>
      <c r="D141" t="s">
        <v>62</v>
      </c>
      <c r="E141" t="s">
        <v>42</v>
      </c>
      <c r="F141" t="s">
        <v>73</v>
      </c>
      <c r="G141" s="7">
        <v>45759</v>
      </c>
      <c r="H141">
        <v>145</v>
      </c>
      <c r="I141">
        <v>0</v>
      </c>
      <c r="J141" t="s">
        <v>36</v>
      </c>
      <c r="K141" t="s">
        <v>25</v>
      </c>
      <c r="L141" t="s">
        <v>26</v>
      </c>
      <c r="M141">
        <v>36</v>
      </c>
      <c r="N141" t="s">
        <v>27</v>
      </c>
      <c r="O141" t="str">
        <f t="shared" si="8"/>
        <v>2025-04</v>
      </c>
      <c r="P141" t="str">
        <f t="shared" si="9"/>
        <v>High</v>
      </c>
      <c r="Q141" t="str">
        <f t="shared" si="10"/>
        <v>No</v>
      </c>
      <c r="R141" s="10">
        <f t="shared" si="11"/>
        <v>0</v>
      </c>
    </row>
    <row r="142" spans="1:18">
      <c r="A142" t="s">
        <v>1157</v>
      </c>
      <c r="B142" t="s">
        <v>1158</v>
      </c>
      <c r="C142" t="s">
        <v>1159</v>
      </c>
      <c r="D142" t="s">
        <v>62</v>
      </c>
      <c r="E142" t="s">
        <v>22</v>
      </c>
      <c r="F142" t="s">
        <v>43</v>
      </c>
      <c r="G142" s="7">
        <v>45741</v>
      </c>
      <c r="H142">
        <v>46</v>
      </c>
      <c r="I142">
        <v>0</v>
      </c>
      <c r="J142" t="s">
        <v>36</v>
      </c>
      <c r="K142" t="s">
        <v>25</v>
      </c>
      <c r="L142" t="s">
        <v>37</v>
      </c>
      <c r="M142">
        <v>17</v>
      </c>
      <c r="N142" t="s">
        <v>27</v>
      </c>
      <c r="O142" t="str">
        <f t="shared" si="8"/>
        <v>2025-03</v>
      </c>
      <c r="P142" t="str">
        <f t="shared" si="9"/>
        <v>Medium</v>
      </c>
      <c r="Q142" t="str">
        <f t="shared" si="10"/>
        <v>No</v>
      </c>
      <c r="R142" s="10">
        <f t="shared" si="11"/>
        <v>0</v>
      </c>
    </row>
    <row r="143" spans="1:18">
      <c r="A143" t="s">
        <v>234</v>
      </c>
      <c r="B143" t="s">
        <v>235</v>
      </c>
      <c r="C143" t="s">
        <v>236</v>
      </c>
      <c r="D143" t="s">
        <v>41</v>
      </c>
      <c r="E143" t="s">
        <v>34</v>
      </c>
      <c r="F143" t="s">
        <v>73</v>
      </c>
      <c r="G143" s="7">
        <v>45685</v>
      </c>
      <c r="H143">
        <v>106</v>
      </c>
      <c r="I143">
        <v>0</v>
      </c>
      <c r="J143" t="s">
        <v>36</v>
      </c>
      <c r="K143" t="s">
        <v>25</v>
      </c>
      <c r="L143" t="s">
        <v>37</v>
      </c>
      <c r="M143">
        <v>15</v>
      </c>
      <c r="N143" t="s">
        <v>27</v>
      </c>
      <c r="O143" t="str">
        <f t="shared" si="8"/>
        <v>2025-01</v>
      </c>
      <c r="P143" t="str">
        <f t="shared" si="9"/>
        <v>High</v>
      </c>
      <c r="Q143" t="str">
        <f t="shared" si="10"/>
        <v>No</v>
      </c>
      <c r="R143" s="10">
        <f t="shared" si="11"/>
        <v>0</v>
      </c>
    </row>
    <row r="144" spans="1:18">
      <c r="A144" t="s">
        <v>1160</v>
      </c>
      <c r="B144" t="s">
        <v>1161</v>
      </c>
      <c r="C144" t="s">
        <v>1162</v>
      </c>
      <c r="D144" t="s">
        <v>57</v>
      </c>
      <c r="E144" t="s">
        <v>22</v>
      </c>
      <c r="F144" t="s">
        <v>43</v>
      </c>
      <c r="G144" s="7">
        <v>45705</v>
      </c>
      <c r="H144">
        <v>48</v>
      </c>
      <c r="I144">
        <v>46.63</v>
      </c>
      <c r="J144" t="s">
        <v>44</v>
      </c>
      <c r="K144" t="s">
        <v>25</v>
      </c>
      <c r="L144" t="s">
        <v>26</v>
      </c>
      <c r="M144">
        <v>42</v>
      </c>
      <c r="N144" t="s">
        <v>30</v>
      </c>
      <c r="O144" t="str">
        <f t="shared" si="8"/>
        <v>2025-02</v>
      </c>
      <c r="P144" t="str">
        <f t="shared" si="9"/>
        <v>Medium</v>
      </c>
      <c r="Q144" t="str">
        <f t="shared" si="10"/>
        <v>Yes</v>
      </c>
      <c r="R144" s="10">
        <f t="shared" si="11"/>
        <v>1</v>
      </c>
    </row>
    <row r="145" spans="1:18">
      <c r="A145" t="s">
        <v>658</v>
      </c>
      <c r="B145" t="s">
        <v>659</v>
      </c>
      <c r="C145" t="s">
        <v>660</v>
      </c>
      <c r="D145" t="s">
        <v>21</v>
      </c>
      <c r="E145" t="s">
        <v>42</v>
      </c>
      <c r="F145" t="s">
        <v>73</v>
      </c>
      <c r="G145" s="7">
        <v>45769</v>
      </c>
      <c r="H145">
        <v>83</v>
      </c>
      <c r="I145">
        <v>0</v>
      </c>
      <c r="J145" t="s">
        <v>36</v>
      </c>
      <c r="K145" t="s">
        <v>25</v>
      </c>
      <c r="L145" t="s">
        <v>37</v>
      </c>
      <c r="M145">
        <v>25</v>
      </c>
      <c r="N145" t="s">
        <v>27</v>
      </c>
      <c r="O145" t="str">
        <f t="shared" si="8"/>
        <v>2025-04</v>
      </c>
      <c r="P145" t="str">
        <f t="shared" si="9"/>
        <v>High</v>
      </c>
      <c r="Q145" t="str">
        <f t="shared" si="10"/>
        <v>No</v>
      </c>
      <c r="R145" s="10">
        <f t="shared" si="11"/>
        <v>0</v>
      </c>
    </row>
    <row r="146" spans="1:18">
      <c r="A146" t="s">
        <v>90</v>
      </c>
      <c r="B146" t="s">
        <v>91</v>
      </c>
      <c r="C146" t="s">
        <v>92</v>
      </c>
      <c r="D146" t="s">
        <v>41</v>
      </c>
      <c r="E146" t="s">
        <v>42</v>
      </c>
      <c r="F146" t="s">
        <v>23</v>
      </c>
      <c r="G146" s="7">
        <v>45650</v>
      </c>
      <c r="H146">
        <v>146</v>
      </c>
      <c r="I146">
        <v>0</v>
      </c>
      <c r="J146" t="s">
        <v>36</v>
      </c>
      <c r="K146" t="s">
        <v>25</v>
      </c>
      <c r="L146" t="s">
        <v>37</v>
      </c>
      <c r="M146">
        <v>28</v>
      </c>
      <c r="N146" t="s">
        <v>27</v>
      </c>
      <c r="O146" t="str">
        <f t="shared" si="8"/>
        <v>2024-12</v>
      </c>
      <c r="P146" t="str">
        <f t="shared" si="9"/>
        <v>High</v>
      </c>
      <c r="Q146" t="str">
        <f t="shared" si="10"/>
        <v>No</v>
      </c>
      <c r="R146" s="10">
        <f t="shared" si="11"/>
        <v>0</v>
      </c>
    </row>
    <row r="147" spans="1:18">
      <c r="A147" t="s">
        <v>1163</v>
      </c>
      <c r="B147" t="s">
        <v>1164</v>
      </c>
      <c r="C147" t="s">
        <v>1165</v>
      </c>
      <c r="D147" t="s">
        <v>41</v>
      </c>
      <c r="E147" t="s">
        <v>42</v>
      </c>
      <c r="F147" t="s">
        <v>58</v>
      </c>
      <c r="G147" s="7">
        <v>45713</v>
      </c>
      <c r="H147">
        <v>18</v>
      </c>
      <c r="I147">
        <v>0</v>
      </c>
      <c r="J147" t="s">
        <v>36</v>
      </c>
      <c r="K147" t="s">
        <v>25</v>
      </c>
      <c r="L147" t="s">
        <v>37</v>
      </c>
      <c r="M147">
        <v>47</v>
      </c>
      <c r="N147" t="s">
        <v>27</v>
      </c>
      <c r="O147" t="str">
        <f t="shared" si="8"/>
        <v>2025-02</v>
      </c>
      <c r="P147" t="str">
        <f t="shared" si="9"/>
        <v>Low</v>
      </c>
      <c r="Q147" t="str">
        <f t="shared" si="10"/>
        <v>No</v>
      </c>
      <c r="R147" s="10">
        <f t="shared" si="11"/>
        <v>0</v>
      </c>
    </row>
    <row r="148" spans="1:18">
      <c r="A148" t="s">
        <v>661</v>
      </c>
      <c r="B148" t="s">
        <v>662</v>
      </c>
      <c r="C148" t="s">
        <v>663</v>
      </c>
      <c r="D148" t="s">
        <v>62</v>
      </c>
      <c r="E148" t="s">
        <v>34</v>
      </c>
      <c r="F148" t="s">
        <v>58</v>
      </c>
      <c r="G148" s="7">
        <v>45770</v>
      </c>
      <c r="H148">
        <v>136</v>
      </c>
      <c r="I148">
        <v>0</v>
      </c>
      <c r="J148" t="s">
        <v>36</v>
      </c>
      <c r="K148" t="s">
        <v>25</v>
      </c>
      <c r="L148" t="s">
        <v>37</v>
      </c>
      <c r="M148">
        <v>23</v>
      </c>
      <c r="N148" t="s">
        <v>27</v>
      </c>
      <c r="O148" t="str">
        <f t="shared" si="8"/>
        <v>2025-04</v>
      </c>
      <c r="P148" t="str">
        <f t="shared" si="9"/>
        <v>High</v>
      </c>
      <c r="Q148" t="str">
        <f t="shared" si="10"/>
        <v>No</v>
      </c>
      <c r="R148" s="10">
        <f t="shared" si="11"/>
        <v>0</v>
      </c>
    </row>
    <row r="149" spans="1:18">
      <c r="A149" t="s">
        <v>240</v>
      </c>
      <c r="B149" t="s">
        <v>241</v>
      </c>
      <c r="C149" t="s">
        <v>242</v>
      </c>
      <c r="D149" t="s">
        <v>49</v>
      </c>
      <c r="E149" t="s">
        <v>42</v>
      </c>
      <c r="F149" t="s">
        <v>35</v>
      </c>
      <c r="G149" s="7">
        <v>45683</v>
      </c>
      <c r="H149">
        <v>99</v>
      </c>
      <c r="I149">
        <v>0</v>
      </c>
      <c r="J149" t="s">
        <v>36</v>
      </c>
      <c r="K149" t="s">
        <v>25</v>
      </c>
      <c r="L149" t="s">
        <v>37</v>
      </c>
      <c r="M149">
        <v>2</v>
      </c>
      <c r="N149" t="s">
        <v>27</v>
      </c>
      <c r="O149" t="str">
        <f t="shared" si="8"/>
        <v>2025-01</v>
      </c>
      <c r="P149" t="str">
        <f t="shared" si="9"/>
        <v>High</v>
      </c>
      <c r="Q149" t="str">
        <f t="shared" si="10"/>
        <v>No</v>
      </c>
      <c r="R149" s="10">
        <f t="shared" si="11"/>
        <v>0</v>
      </c>
    </row>
    <row r="150" spans="1:18">
      <c r="A150" t="s">
        <v>403</v>
      </c>
      <c r="B150" t="s">
        <v>404</v>
      </c>
      <c r="C150" t="s">
        <v>405</v>
      </c>
      <c r="D150" t="s">
        <v>49</v>
      </c>
      <c r="E150" t="s">
        <v>22</v>
      </c>
      <c r="F150" t="s">
        <v>23</v>
      </c>
      <c r="G150" s="7">
        <v>45693</v>
      </c>
      <c r="H150">
        <v>133</v>
      </c>
      <c r="I150">
        <v>0</v>
      </c>
      <c r="J150" t="s">
        <v>36</v>
      </c>
      <c r="K150" t="s">
        <v>25</v>
      </c>
      <c r="L150" t="s">
        <v>37</v>
      </c>
      <c r="M150">
        <v>26</v>
      </c>
      <c r="N150" t="s">
        <v>27</v>
      </c>
      <c r="O150" t="str">
        <f t="shared" si="8"/>
        <v>2025-02</v>
      </c>
      <c r="P150" t="str">
        <f t="shared" si="9"/>
        <v>High</v>
      </c>
      <c r="Q150" t="str">
        <f t="shared" si="10"/>
        <v>No</v>
      </c>
      <c r="R150" s="10">
        <f t="shared" si="11"/>
        <v>0</v>
      </c>
    </row>
    <row r="151" spans="1:18">
      <c r="A151" t="s">
        <v>1166</v>
      </c>
      <c r="B151" t="s">
        <v>1167</v>
      </c>
      <c r="C151" t="s">
        <v>1168</v>
      </c>
      <c r="D151" t="s">
        <v>57</v>
      </c>
      <c r="E151" t="s">
        <v>42</v>
      </c>
      <c r="F151" t="s">
        <v>23</v>
      </c>
      <c r="G151" s="7">
        <v>45728</v>
      </c>
      <c r="H151">
        <v>54</v>
      </c>
      <c r="I151">
        <v>0</v>
      </c>
      <c r="J151" t="s">
        <v>36</v>
      </c>
      <c r="K151" t="s">
        <v>25</v>
      </c>
      <c r="L151" t="s">
        <v>37</v>
      </c>
      <c r="M151">
        <v>5</v>
      </c>
      <c r="N151" t="s">
        <v>27</v>
      </c>
      <c r="O151" t="str">
        <f t="shared" si="8"/>
        <v>2025-03</v>
      </c>
      <c r="P151" t="str">
        <f t="shared" si="9"/>
        <v>Medium</v>
      </c>
      <c r="Q151" t="str">
        <f t="shared" si="10"/>
        <v>No</v>
      </c>
      <c r="R151" s="10">
        <f t="shared" si="11"/>
        <v>0</v>
      </c>
    </row>
    <row r="152" spans="1:18">
      <c r="A152" t="s">
        <v>246</v>
      </c>
      <c r="B152" t="s">
        <v>247</v>
      </c>
      <c r="C152" t="s">
        <v>248</v>
      </c>
      <c r="D152" t="s">
        <v>49</v>
      </c>
      <c r="E152" t="s">
        <v>34</v>
      </c>
      <c r="F152" t="s">
        <v>58</v>
      </c>
      <c r="G152" s="7">
        <v>45666</v>
      </c>
      <c r="H152">
        <v>169</v>
      </c>
      <c r="I152">
        <v>0</v>
      </c>
      <c r="J152" t="s">
        <v>36</v>
      </c>
      <c r="K152" t="s">
        <v>25</v>
      </c>
      <c r="L152" t="s">
        <v>37</v>
      </c>
      <c r="M152">
        <v>30</v>
      </c>
      <c r="N152" t="s">
        <v>30</v>
      </c>
      <c r="O152" t="str">
        <f t="shared" si="8"/>
        <v>2025-01</v>
      </c>
      <c r="P152" t="str">
        <f t="shared" si="9"/>
        <v>High</v>
      </c>
      <c r="Q152" t="str">
        <f t="shared" si="10"/>
        <v>No</v>
      </c>
      <c r="R152" s="10">
        <f t="shared" si="11"/>
        <v>1</v>
      </c>
    </row>
    <row r="153" spans="1:18">
      <c r="A153" t="s">
        <v>1169</v>
      </c>
      <c r="B153" t="s">
        <v>1170</v>
      </c>
      <c r="C153" t="s">
        <v>1171</v>
      </c>
      <c r="D153" t="s">
        <v>49</v>
      </c>
      <c r="E153" t="s">
        <v>42</v>
      </c>
      <c r="F153" t="s">
        <v>73</v>
      </c>
      <c r="G153" s="7">
        <v>45737</v>
      </c>
      <c r="H153">
        <v>8</v>
      </c>
      <c r="I153">
        <v>39.119999999999997</v>
      </c>
      <c r="J153" t="s">
        <v>24</v>
      </c>
      <c r="K153" t="s">
        <v>25</v>
      </c>
      <c r="L153" t="s">
        <v>26</v>
      </c>
      <c r="M153">
        <v>48</v>
      </c>
      <c r="N153" t="s">
        <v>27</v>
      </c>
      <c r="O153" t="str">
        <f t="shared" si="8"/>
        <v>2025-03</v>
      </c>
      <c r="P153" t="str">
        <f t="shared" si="9"/>
        <v>Low</v>
      </c>
      <c r="Q153" t="str">
        <f t="shared" si="10"/>
        <v>Yes</v>
      </c>
      <c r="R153" s="10">
        <f t="shared" si="11"/>
        <v>0</v>
      </c>
    </row>
    <row r="154" spans="1:18">
      <c r="A154" t="s">
        <v>1172</v>
      </c>
      <c r="B154" t="s">
        <v>1173</v>
      </c>
      <c r="C154" t="s">
        <v>1174</v>
      </c>
      <c r="D154" t="s">
        <v>41</v>
      </c>
      <c r="E154" t="s">
        <v>42</v>
      </c>
      <c r="F154" t="s">
        <v>73</v>
      </c>
      <c r="G154" s="7">
        <v>45695</v>
      </c>
      <c r="H154">
        <v>27</v>
      </c>
      <c r="I154">
        <v>2.64</v>
      </c>
      <c r="J154" t="s">
        <v>173</v>
      </c>
      <c r="K154" t="s">
        <v>25</v>
      </c>
      <c r="L154" t="s">
        <v>26</v>
      </c>
      <c r="M154">
        <v>3</v>
      </c>
      <c r="N154" t="s">
        <v>27</v>
      </c>
      <c r="O154" t="str">
        <f t="shared" si="8"/>
        <v>2025-02</v>
      </c>
      <c r="P154" t="str">
        <f t="shared" si="9"/>
        <v>Medium</v>
      </c>
      <c r="Q154" t="str">
        <f t="shared" si="10"/>
        <v>Yes</v>
      </c>
      <c r="R154" s="10">
        <f t="shared" si="11"/>
        <v>0</v>
      </c>
    </row>
    <row r="155" spans="1:18">
      <c r="A155" t="s">
        <v>537</v>
      </c>
      <c r="B155" t="s">
        <v>538</v>
      </c>
      <c r="C155" t="s">
        <v>539</v>
      </c>
      <c r="D155" t="s">
        <v>57</v>
      </c>
      <c r="E155" t="s">
        <v>22</v>
      </c>
      <c r="F155" t="s">
        <v>73</v>
      </c>
      <c r="G155" s="7">
        <v>45721</v>
      </c>
      <c r="H155">
        <v>118</v>
      </c>
      <c r="I155">
        <v>46.55</v>
      </c>
      <c r="J155" t="s">
        <v>44</v>
      </c>
      <c r="K155" t="s">
        <v>25</v>
      </c>
      <c r="L155" t="s">
        <v>26</v>
      </c>
      <c r="M155">
        <v>45</v>
      </c>
      <c r="N155" t="s">
        <v>30</v>
      </c>
      <c r="O155" t="str">
        <f t="shared" si="8"/>
        <v>2025-03</v>
      </c>
      <c r="P155" t="str">
        <f t="shared" si="9"/>
        <v>High</v>
      </c>
      <c r="Q155" t="str">
        <f t="shared" si="10"/>
        <v>Yes</v>
      </c>
      <c r="R155" s="10">
        <f t="shared" si="11"/>
        <v>1</v>
      </c>
    </row>
    <row r="156" spans="1:18">
      <c r="A156" t="s">
        <v>851</v>
      </c>
      <c r="B156" t="s">
        <v>852</v>
      </c>
      <c r="C156" t="s">
        <v>853</v>
      </c>
      <c r="D156" t="s">
        <v>21</v>
      </c>
      <c r="E156" t="s">
        <v>22</v>
      </c>
      <c r="F156" t="s">
        <v>43</v>
      </c>
      <c r="G156" s="7">
        <v>45792</v>
      </c>
      <c r="H156">
        <v>171</v>
      </c>
      <c r="I156">
        <v>18.03</v>
      </c>
      <c r="J156" t="s">
        <v>129</v>
      </c>
      <c r="K156" t="s">
        <v>25</v>
      </c>
      <c r="L156" t="s">
        <v>26</v>
      </c>
      <c r="M156">
        <v>43</v>
      </c>
      <c r="N156" t="s">
        <v>30</v>
      </c>
      <c r="O156" t="str">
        <f t="shared" si="8"/>
        <v>2025-05</v>
      </c>
      <c r="P156" t="str">
        <f t="shared" si="9"/>
        <v>High</v>
      </c>
      <c r="Q156" t="str">
        <f t="shared" si="10"/>
        <v>Yes</v>
      </c>
      <c r="R156" s="10">
        <f t="shared" si="11"/>
        <v>1</v>
      </c>
    </row>
    <row r="157" spans="1:18">
      <c r="A157" t="s">
        <v>1175</v>
      </c>
      <c r="B157" t="s">
        <v>1176</v>
      </c>
      <c r="C157" t="s">
        <v>1177</v>
      </c>
      <c r="D157" t="s">
        <v>41</v>
      </c>
      <c r="E157" t="s">
        <v>22</v>
      </c>
      <c r="F157" t="s">
        <v>58</v>
      </c>
      <c r="G157" s="7">
        <v>45756</v>
      </c>
      <c r="H157">
        <v>55</v>
      </c>
      <c r="I157">
        <v>0</v>
      </c>
      <c r="J157" t="s">
        <v>36</v>
      </c>
      <c r="K157" t="s">
        <v>25</v>
      </c>
      <c r="L157" t="s">
        <v>37</v>
      </c>
      <c r="M157">
        <v>29</v>
      </c>
      <c r="N157" t="s">
        <v>27</v>
      </c>
      <c r="O157" t="str">
        <f t="shared" si="8"/>
        <v>2025-04</v>
      </c>
      <c r="P157" t="str">
        <f t="shared" si="9"/>
        <v>Medium</v>
      </c>
      <c r="Q157" t="str">
        <f t="shared" si="10"/>
        <v>No</v>
      </c>
      <c r="R157" s="10">
        <f t="shared" si="11"/>
        <v>0</v>
      </c>
    </row>
    <row r="158" spans="1:18">
      <c r="A158" t="s">
        <v>1178</v>
      </c>
      <c r="B158" t="s">
        <v>1179</v>
      </c>
      <c r="C158" t="s">
        <v>1180</v>
      </c>
      <c r="D158" t="s">
        <v>57</v>
      </c>
      <c r="E158" t="s">
        <v>42</v>
      </c>
      <c r="F158" t="s">
        <v>43</v>
      </c>
      <c r="G158" s="7">
        <v>45709</v>
      </c>
      <c r="H158">
        <v>37</v>
      </c>
      <c r="I158">
        <v>0</v>
      </c>
      <c r="J158" t="s">
        <v>36</v>
      </c>
      <c r="K158" t="s">
        <v>66</v>
      </c>
      <c r="L158" t="s">
        <v>37</v>
      </c>
      <c r="M158">
        <v>1</v>
      </c>
      <c r="N158" t="s">
        <v>27</v>
      </c>
      <c r="O158" t="str">
        <f t="shared" si="8"/>
        <v>2025-02</v>
      </c>
      <c r="P158" t="str">
        <f t="shared" si="9"/>
        <v>Medium</v>
      </c>
      <c r="Q158" t="str">
        <f t="shared" si="10"/>
        <v>No</v>
      </c>
      <c r="R158" s="10">
        <f t="shared" si="11"/>
        <v>0</v>
      </c>
    </row>
    <row r="159" spans="1:18">
      <c r="A159" t="s">
        <v>409</v>
      </c>
      <c r="B159" t="s">
        <v>410</v>
      </c>
      <c r="C159" t="s">
        <v>411</v>
      </c>
      <c r="D159" t="s">
        <v>49</v>
      </c>
      <c r="E159" t="s">
        <v>42</v>
      </c>
      <c r="F159" t="s">
        <v>73</v>
      </c>
      <c r="G159" s="7">
        <v>45700</v>
      </c>
      <c r="H159">
        <v>79</v>
      </c>
      <c r="I159">
        <v>0</v>
      </c>
      <c r="J159" t="s">
        <v>36</v>
      </c>
      <c r="K159" t="s">
        <v>25</v>
      </c>
      <c r="L159" t="s">
        <v>37</v>
      </c>
      <c r="M159">
        <v>44</v>
      </c>
      <c r="N159" t="s">
        <v>27</v>
      </c>
      <c r="O159" t="str">
        <f t="shared" si="8"/>
        <v>2025-02</v>
      </c>
      <c r="P159" t="str">
        <f t="shared" si="9"/>
        <v>High</v>
      </c>
      <c r="Q159" t="str">
        <f t="shared" si="10"/>
        <v>No</v>
      </c>
      <c r="R159" s="10">
        <f t="shared" si="11"/>
        <v>0</v>
      </c>
    </row>
    <row r="160" spans="1:18">
      <c r="A160" t="s">
        <v>1181</v>
      </c>
      <c r="B160" t="s">
        <v>1182</v>
      </c>
      <c r="C160" t="s">
        <v>1183</v>
      </c>
      <c r="D160" t="s">
        <v>41</v>
      </c>
      <c r="E160" t="s">
        <v>42</v>
      </c>
      <c r="F160" t="s">
        <v>80</v>
      </c>
      <c r="G160" s="7">
        <v>45690</v>
      </c>
      <c r="H160">
        <v>50</v>
      </c>
      <c r="I160">
        <v>0</v>
      </c>
      <c r="J160" t="s">
        <v>36</v>
      </c>
      <c r="K160" t="s">
        <v>25</v>
      </c>
      <c r="L160" t="s">
        <v>37</v>
      </c>
      <c r="M160">
        <v>21</v>
      </c>
      <c r="N160" t="s">
        <v>27</v>
      </c>
      <c r="O160" t="str">
        <f t="shared" si="8"/>
        <v>2025-02</v>
      </c>
      <c r="P160" t="str">
        <f t="shared" si="9"/>
        <v>Medium</v>
      </c>
      <c r="Q160" t="str">
        <f t="shared" si="10"/>
        <v>No</v>
      </c>
      <c r="R160" s="10">
        <f t="shared" si="11"/>
        <v>0</v>
      </c>
    </row>
    <row r="161" spans="1:18">
      <c r="A161" t="s">
        <v>1184</v>
      </c>
      <c r="B161" t="s">
        <v>1185</v>
      </c>
      <c r="C161" t="s">
        <v>1186</v>
      </c>
      <c r="D161" t="s">
        <v>49</v>
      </c>
      <c r="E161" t="s">
        <v>22</v>
      </c>
      <c r="F161" t="s">
        <v>58</v>
      </c>
      <c r="G161" s="7">
        <v>45700</v>
      </c>
      <c r="H161">
        <v>57</v>
      </c>
      <c r="I161">
        <v>0</v>
      </c>
      <c r="J161" t="s">
        <v>36</v>
      </c>
      <c r="K161" t="s">
        <v>25</v>
      </c>
      <c r="L161" t="s">
        <v>37</v>
      </c>
      <c r="M161">
        <v>13</v>
      </c>
      <c r="N161" t="s">
        <v>27</v>
      </c>
      <c r="O161" t="str">
        <f t="shared" si="8"/>
        <v>2025-02</v>
      </c>
      <c r="P161" t="str">
        <f t="shared" si="9"/>
        <v>Medium</v>
      </c>
      <c r="Q161" t="str">
        <f t="shared" si="10"/>
        <v>No</v>
      </c>
      <c r="R161" s="10">
        <f t="shared" si="11"/>
        <v>0</v>
      </c>
    </row>
    <row r="162" spans="1:18">
      <c r="A162" t="s">
        <v>667</v>
      </c>
      <c r="B162" t="s">
        <v>668</v>
      </c>
      <c r="C162" t="s">
        <v>669</v>
      </c>
      <c r="D162" t="s">
        <v>21</v>
      </c>
      <c r="E162" t="s">
        <v>42</v>
      </c>
      <c r="F162" t="s">
        <v>73</v>
      </c>
      <c r="G162" s="7">
        <v>45765</v>
      </c>
      <c r="H162">
        <v>116</v>
      </c>
      <c r="I162">
        <v>17.05</v>
      </c>
      <c r="J162" t="s">
        <v>173</v>
      </c>
      <c r="K162" t="s">
        <v>66</v>
      </c>
      <c r="L162" t="s">
        <v>26</v>
      </c>
      <c r="M162">
        <v>17</v>
      </c>
      <c r="N162" t="s">
        <v>27</v>
      </c>
      <c r="O162" t="str">
        <f t="shared" si="8"/>
        <v>2025-04</v>
      </c>
      <c r="P162" t="str">
        <f t="shared" si="9"/>
        <v>High</v>
      </c>
      <c r="Q162" t="str">
        <f t="shared" si="10"/>
        <v>Yes</v>
      </c>
      <c r="R162" s="10">
        <f t="shared" si="11"/>
        <v>0</v>
      </c>
    </row>
    <row r="163" spans="1:18">
      <c r="A163" t="s">
        <v>1187</v>
      </c>
      <c r="B163" t="s">
        <v>1188</v>
      </c>
      <c r="C163" t="s">
        <v>1189</v>
      </c>
      <c r="D163" t="s">
        <v>49</v>
      </c>
      <c r="E163" t="s">
        <v>22</v>
      </c>
      <c r="F163" t="s">
        <v>43</v>
      </c>
      <c r="G163" s="7">
        <v>45701</v>
      </c>
      <c r="H163">
        <v>8</v>
      </c>
      <c r="I163">
        <v>0</v>
      </c>
      <c r="J163" t="s">
        <v>36</v>
      </c>
      <c r="K163" t="s">
        <v>66</v>
      </c>
      <c r="L163" t="s">
        <v>37</v>
      </c>
      <c r="M163">
        <v>31</v>
      </c>
      <c r="N163" t="s">
        <v>27</v>
      </c>
      <c r="O163" t="str">
        <f t="shared" si="8"/>
        <v>2025-02</v>
      </c>
      <c r="P163" t="str">
        <f t="shared" si="9"/>
        <v>Low</v>
      </c>
      <c r="Q163" t="str">
        <f t="shared" si="10"/>
        <v>No</v>
      </c>
      <c r="R163" s="10">
        <f t="shared" si="11"/>
        <v>0</v>
      </c>
    </row>
    <row r="164" spans="1:18">
      <c r="A164" t="s">
        <v>1190</v>
      </c>
      <c r="B164" t="s">
        <v>1191</v>
      </c>
      <c r="C164" t="s">
        <v>1192</v>
      </c>
      <c r="D164" t="s">
        <v>41</v>
      </c>
      <c r="E164" t="s">
        <v>42</v>
      </c>
      <c r="F164" t="s">
        <v>43</v>
      </c>
      <c r="G164" s="7">
        <v>45658</v>
      </c>
      <c r="H164">
        <v>38</v>
      </c>
      <c r="I164">
        <v>0</v>
      </c>
      <c r="J164" t="s">
        <v>36</v>
      </c>
      <c r="K164" t="s">
        <v>25</v>
      </c>
      <c r="L164" t="s">
        <v>37</v>
      </c>
      <c r="M164">
        <v>21</v>
      </c>
      <c r="N164" t="s">
        <v>27</v>
      </c>
      <c r="O164" t="str">
        <f t="shared" si="8"/>
        <v>2025-01</v>
      </c>
      <c r="P164" t="str">
        <f t="shared" si="9"/>
        <v>Medium</v>
      </c>
      <c r="Q164" t="str">
        <f t="shared" si="10"/>
        <v>No</v>
      </c>
      <c r="R164" s="10">
        <f t="shared" si="11"/>
        <v>0</v>
      </c>
    </row>
    <row r="165" spans="1:18">
      <c r="A165" t="s">
        <v>854</v>
      </c>
      <c r="B165" t="s">
        <v>855</v>
      </c>
      <c r="C165" t="s">
        <v>856</v>
      </c>
      <c r="D165" t="s">
        <v>57</v>
      </c>
      <c r="E165" t="s">
        <v>34</v>
      </c>
      <c r="F165" t="s">
        <v>43</v>
      </c>
      <c r="G165" s="7">
        <v>45782</v>
      </c>
      <c r="H165">
        <v>94</v>
      </c>
      <c r="I165">
        <v>0</v>
      </c>
      <c r="J165" t="s">
        <v>36</v>
      </c>
      <c r="K165" t="s">
        <v>66</v>
      </c>
      <c r="L165" t="s">
        <v>37</v>
      </c>
      <c r="M165">
        <v>23</v>
      </c>
      <c r="N165" t="s">
        <v>27</v>
      </c>
      <c r="O165" t="str">
        <f t="shared" si="8"/>
        <v>2025-05</v>
      </c>
      <c r="P165" t="str">
        <f t="shared" si="9"/>
        <v>High</v>
      </c>
      <c r="Q165" t="str">
        <f t="shared" si="10"/>
        <v>No</v>
      </c>
      <c r="R165" s="10">
        <f t="shared" si="11"/>
        <v>0</v>
      </c>
    </row>
    <row r="166" spans="1:18">
      <c r="A166" t="s">
        <v>540</v>
      </c>
      <c r="B166" t="s">
        <v>541</v>
      </c>
      <c r="C166" t="s">
        <v>542</v>
      </c>
      <c r="D166" t="s">
        <v>57</v>
      </c>
      <c r="E166" t="s">
        <v>34</v>
      </c>
      <c r="F166" t="s">
        <v>35</v>
      </c>
      <c r="G166" s="7">
        <v>45738</v>
      </c>
      <c r="H166">
        <v>139</v>
      </c>
      <c r="I166">
        <v>0</v>
      </c>
      <c r="J166" t="s">
        <v>36</v>
      </c>
      <c r="K166" t="s">
        <v>25</v>
      </c>
      <c r="L166" t="s">
        <v>37</v>
      </c>
      <c r="M166">
        <v>26</v>
      </c>
      <c r="N166" t="s">
        <v>27</v>
      </c>
      <c r="O166" t="str">
        <f t="shared" si="8"/>
        <v>2025-03</v>
      </c>
      <c r="P166" t="str">
        <f t="shared" si="9"/>
        <v>High</v>
      </c>
      <c r="Q166" t="str">
        <f t="shared" si="10"/>
        <v>No</v>
      </c>
      <c r="R166" s="10">
        <f t="shared" si="11"/>
        <v>0</v>
      </c>
    </row>
    <row r="167" spans="1:18">
      <c r="A167" t="s">
        <v>857</v>
      </c>
      <c r="B167" t="s">
        <v>858</v>
      </c>
      <c r="C167" t="s">
        <v>859</v>
      </c>
      <c r="D167" t="s">
        <v>57</v>
      </c>
      <c r="E167" t="s">
        <v>42</v>
      </c>
      <c r="F167" t="s">
        <v>35</v>
      </c>
      <c r="G167" s="7">
        <v>45794</v>
      </c>
      <c r="H167">
        <v>153</v>
      </c>
      <c r="I167">
        <v>0</v>
      </c>
      <c r="J167" t="s">
        <v>36</v>
      </c>
      <c r="K167" t="s">
        <v>25</v>
      </c>
      <c r="L167" t="s">
        <v>37</v>
      </c>
      <c r="M167">
        <v>45</v>
      </c>
      <c r="N167" t="s">
        <v>30</v>
      </c>
      <c r="O167" t="str">
        <f t="shared" si="8"/>
        <v>2025-05</v>
      </c>
      <c r="P167" t="str">
        <f t="shared" si="9"/>
        <v>High</v>
      </c>
      <c r="Q167" t="str">
        <f t="shared" si="10"/>
        <v>No</v>
      </c>
      <c r="R167" s="10">
        <f t="shared" si="11"/>
        <v>1</v>
      </c>
    </row>
    <row r="168" spans="1:18">
      <c r="A168" t="s">
        <v>673</v>
      </c>
      <c r="B168" t="s">
        <v>674</v>
      </c>
      <c r="C168" t="s">
        <v>675</v>
      </c>
      <c r="D168" t="s">
        <v>57</v>
      </c>
      <c r="E168" t="s">
        <v>22</v>
      </c>
      <c r="F168" t="s">
        <v>73</v>
      </c>
      <c r="G168" s="7">
        <v>45763</v>
      </c>
      <c r="H168">
        <v>116</v>
      </c>
      <c r="I168">
        <v>47.47</v>
      </c>
      <c r="J168" t="s">
        <v>173</v>
      </c>
      <c r="K168" t="s">
        <v>25</v>
      </c>
      <c r="L168" t="s">
        <v>26</v>
      </c>
      <c r="M168">
        <v>1</v>
      </c>
      <c r="N168" t="s">
        <v>30</v>
      </c>
      <c r="O168" t="str">
        <f t="shared" si="8"/>
        <v>2025-04</v>
      </c>
      <c r="P168" t="str">
        <f t="shared" si="9"/>
        <v>High</v>
      </c>
      <c r="Q168" t="str">
        <f t="shared" si="10"/>
        <v>Yes</v>
      </c>
      <c r="R168" s="10">
        <f t="shared" si="11"/>
        <v>1</v>
      </c>
    </row>
    <row r="169" spans="1:18">
      <c r="A169" t="s">
        <v>543</v>
      </c>
      <c r="B169" t="s">
        <v>265</v>
      </c>
      <c r="C169" t="s">
        <v>544</v>
      </c>
      <c r="D169" t="s">
        <v>62</v>
      </c>
      <c r="E169" t="s">
        <v>34</v>
      </c>
      <c r="F169" t="s">
        <v>43</v>
      </c>
      <c r="G169" s="7">
        <v>45725</v>
      </c>
      <c r="H169">
        <v>82</v>
      </c>
      <c r="I169">
        <v>0</v>
      </c>
      <c r="J169" t="s">
        <v>36</v>
      </c>
      <c r="K169" t="s">
        <v>66</v>
      </c>
      <c r="L169" t="s">
        <v>37</v>
      </c>
      <c r="M169">
        <v>17</v>
      </c>
      <c r="N169" t="s">
        <v>27</v>
      </c>
      <c r="O169" t="str">
        <f t="shared" si="8"/>
        <v>2025-03</v>
      </c>
      <c r="P169" t="str">
        <f t="shared" si="9"/>
        <v>High</v>
      </c>
      <c r="Q169" t="str">
        <f t="shared" si="10"/>
        <v>No</v>
      </c>
      <c r="R169" s="10">
        <f t="shared" si="11"/>
        <v>0</v>
      </c>
    </row>
    <row r="170" spans="1:18">
      <c r="A170" t="s">
        <v>1193</v>
      </c>
      <c r="B170" t="s">
        <v>1194</v>
      </c>
      <c r="C170" t="s">
        <v>1195</v>
      </c>
      <c r="D170" t="s">
        <v>62</v>
      </c>
      <c r="E170" t="s">
        <v>22</v>
      </c>
      <c r="F170" t="s">
        <v>58</v>
      </c>
      <c r="G170" s="7">
        <v>45762</v>
      </c>
      <c r="H170">
        <v>35</v>
      </c>
      <c r="I170">
        <v>0</v>
      </c>
      <c r="J170" t="s">
        <v>36</v>
      </c>
      <c r="K170" t="s">
        <v>25</v>
      </c>
      <c r="L170" t="s">
        <v>37</v>
      </c>
      <c r="M170">
        <v>46</v>
      </c>
      <c r="N170" t="s">
        <v>27</v>
      </c>
      <c r="O170" t="str">
        <f t="shared" si="8"/>
        <v>2025-04</v>
      </c>
      <c r="P170" t="str">
        <f t="shared" si="9"/>
        <v>Medium</v>
      </c>
      <c r="Q170" t="str">
        <f t="shared" si="10"/>
        <v>No</v>
      </c>
      <c r="R170" s="10">
        <f t="shared" si="11"/>
        <v>0</v>
      </c>
    </row>
    <row r="171" spans="1:18">
      <c r="A171" t="s">
        <v>997</v>
      </c>
      <c r="B171" t="s">
        <v>998</v>
      </c>
      <c r="C171" t="s">
        <v>999</v>
      </c>
      <c r="D171" t="s">
        <v>21</v>
      </c>
      <c r="E171" t="s">
        <v>34</v>
      </c>
      <c r="F171" t="s">
        <v>73</v>
      </c>
      <c r="G171" s="7">
        <v>45816</v>
      </c>
      <c r="H171">
        <v>168</v>
      </c>
      <c r="I171">
        <v>0</v>
      </c>
      <c r="J171" t="s">
        <v>36</v>
      </c>
      <c r="K171" t="s">
        <v>25</v>
      </c>
      <c r="L171" t="s">
        <v>37</v>
      </c>
      <c r="M171">
        <v>18</v>
      </c>
      <c r="N171" t="s">
        <v>30</v>
      </c>
      <c r="O171" t="str">
        <f t="shared" si="8"/>
        <v>2025-06</v>
      </c>
      <c r="P171" t="str">
        <f t="shared" si="9"/>
        <v>High</v>
      </c>
      <c r="Q171" t="str">
        <f t="shared" si="10"/>
        <v>No</v>
      </c>
      <c r="R171" s="10">
        <f t="shared" si="11"/>
        <v>1</v>
      </c>
    </row>
    <row r="172" spans="1:18">
      <c r="A172" t="s">
        <v>676</v>
      </c>
      <c r="B172" t="s">
        <v>677</v>
      </c>
      <c r="C172" t="s">
        <v>678</v>
      </c>
      <c r="D172" t="s">
        <v>41</v>
      </c>
      <c r="E172" t="s">
        <v>42</v>
      </c>
      <c r="F172" t="s">
        <v>43</v>
      </c>
      <c r="G172" s="7">
        <v>45756</v>
      </c>
      <c r="H172">
        <v>123</v>
      </c>
      <c r="I172">
        <v>0</v>
      </c>
      <c r="J172" t="s">
        <v>36</v>
      </c>
      <c r="K172" t="s">
        <v>45</v>
      </c>
      <c r="L172" t="s">
        <v>26</v>
      </c>
      <c r="M172">
        <v>47</v>
      </c>
      <c r="N172" t="s">
        <v>27</v>
      </c>
      <c r="O172" t="str">
        <f t="shared" si="8"/>
        <v>2025-04</v>
      </c>
      <c r="P172" t="str">
        <f t="shared" si="9"/>
        <v>High</v>
      </c>
      <c r="Q172" t="str">
        <f t="shared" si="10"/>
        <v>No</v>
      </c>
      <c r="R172" s="10">
        <f t="shared" si="11"/>
        <v>0</v>
      </c>
    </row>
    <row r="173" spans="1:18">
      <c r="A173" t="s">
        <v>1196</v>
      </c>
      <c r="B173" t="s">
        <v>1197</v>
      </c>
      <c r="C173" t="s">
        <v>1198</v>
      </c>
      <c r="D173" t="s">
        <v>41</v>
      </c>
      <c r="E173" t="s">
        <v>22</v>
      </c>
      <c r="F173" t="s">
        <v>73</v>
      </c>
      <c r="G173" s="7">
        <v>45790</v>
      </c>
      <c r="H173">
        <v>41</v>
      </c>
      <c r="I173">
        <v>33.29</v>
      </c>
      <c r="J173" t="s">
        <v>24</v>
      </c>
      <c r="K173" t="s">
        <v>25</v>
      </c>
      <c r="L173" t="s">
        <v>26</v>
      </c>
      <c r="M173">
        <v>29</v>
      </c>
      <c r="N173" t="s">
        <v>27</v>
      </c>
      <c r="O173" t="str">
        <f t="shared" si="8"/>
        <v>2025-05</v>
      </c>
      <c r="P173" t="str">
        <f t="shared" si="9"/>
        <v>Medium</v>
      </c>
      <c r="Q173" t="str">
        <f t="shared" si="10"/>
        <v>Yes</v>
      </c>
      <c r="R173" s="10">
        <f t="shared" si="11"/>
        <v>0</v>
      </c>
    </row>
    <row r="174" spans="1:18">
      <c r="A174" t="s">
        <v>102</v>
      </c>
      <c r="B174" t="s">
        <v>103</v>
      </c>
      <c r="C174" t="s">
        <v>104</v>
      </c>
      <c r="D174" t="s">
        <v>21</v>
      </c>
      <c r="E174" t="s">
        <v>42</v>
      </c>
      <c r="F174" t="s">
        <v>23</v>
      </c>
      <c r="G174" s="7">
        <v>45656</v>
      </c>
      <c r="H174">
        <v>156</v>
      </c>
      <c r="I174">
        <v>0</v>
      </c>
      <c r="J174" t="s">
        <v>36</v>
      </c>
      <c r="K174" t="s">
        <v>25</v>
      </c>
      <c r="L174" t="s">
        <v>37</v>
      </c>
      <c r="M174">
        <v>34</v>
      </c>
      <c r="N174" t="s">
        <v>30</v>
      </c>
      <c r="O174" t="str">
        <f t="shared" si="8"/>
        <v>2024-12</v>
      </c>
      <c r="P174" t="str">
        <f t="shared" si="9"/>
        <v>High</v>
      </c>
      <c r="Q174" t="str">
        <f t="shared" si="10"/>
        <v>No</v>
      </c>
      <c r="R174" s="10">
        <f t="shared" si="11"/>
        <v>1</v>
      </c>
    </row>
    <row r="175" spans="1:18">
      <c r="A175" t="s">
        <v>412</v>
      </c>
      <c r="B175" t="s">
        <v>413</v>
      </c>
      <c r="C175" t="s">
        <v>414</v>
      </c>
      <c r="D175" t="s">
        <v>41</v>
      </c>
      <c r="E175" t="s">
        <v>34</v>
      </c>
      <c r="F175" t="s">
        <v>73</v>
      </c>
      <c r="G175" s="7">
        <v>45716</v>
      </c>
      <c r="H175">
        <v>84</v>
      </c>
      <c r="I175">
        <v>0</v>
      </c>
      <c r="J175" t="s">
        <v>36</v>
      </c>
      <c r="K175" t="s">
        <v>25</v>
      </c>
      <c r="L175" t="s">
        <v>37</v>
      </c>
      <c r="M175">
        <v>15</v>
      </c>
      <c r="N175" t="s">
        <v>27</v>
      </c>
      <c r="O175" t="str">
        <f t="shared" si="8"/>
        <v>2025-02</v>
      </c>
      <c r="P175" t="str">
        <f t="shared" si="9"/>
        <v>High</v>
      </c>
      <c r="Q175" t="str">
        <f t="shared" si="10"/>
        <v>No</v>
      </c>
      <c r="R175" s="10">
        <f t="shared" si="11"/>
        <v>0</v>
      </c>
    </row>
    <row r="176" spans="1:18">
      <c r="A176" t="s">
        <v>415</v>
      </c>
      <c r="B176" t="s">
        <v>416</v>
      </c>
      <c r="C176" t="s">
        <v>417</v>
      </c>
      <c r="D176" t="s">
        <v>62</v>
      </c>
      <c r="E176" t="s">
        <v>42</v>
      </c>
      <c r="F176" t="s">
        <v>35</v>
      </c>
      <c r="G176" s="7">
        <v>45715</v>
      </c>
      <c r="H176">
        <v>138</v>
      </c>
      <c r="I176">
        <v>27.01</v>
      </c>
      <c r="J176" t="s">
        <v>24</v>
      </c>
      <c r="K176" t="s">
        <v>25</v>
      </c>
      <c r="L176" t="s">
        <v>26</v>
      </c>
      <c r="M176">
        <v>18</v>
      </c>
      <c r="N176" t="s">
        <v>27</v>
      </c>
      <c r="O176" t="str">
        <f t="shared" si="8"/>
        <v>2025-02</v>
      </c>
      <c r="P176" t="str">
        <f t="shared" si="9"/>
        <v>High</v>
      </c>
      <c r="Q176" t="str">
        <f t="shared" si="10"/>
        <v>Yes</v>
      </c>
      <c r="R176" s="10">
        <f t="shared" si="11"/>
        <v>0</v>
      </c>
    </row>
    <row r="177" spans="1:18">
      <c r="A177" t="s">
        <v>1199</v>
      </c>
      <c r="B177" t="s">
        <v>1200</v>
      </c>
      <c r="C177" t="s">
        <v>1201</v>
      </c>
      <c r="D177" t="s">
        <v>49</v>
      </c>
      <c r="E177" t="s">
        <v>22</v>
      </c>
      <c r="F177" t="s">
        <v>73</v>
      </c>
      <c r="G177" s="7">
        <v>45794</v>
      </c>
      <c r="H177">
        <v>26</v>
      </c>
      <c r="I177">
        <v>0</v>
      </c>
      <c r="J177" t="s">
        <v>36</v>
      </c>
      <c r="K177" t="s">
        <v>25</v>
      </c>
      <c r="L177" t="s">
        <v>37</v>
      </c>
      <c r="M177">
        <v>22</v>
      </c>
      <c r="N177" t="s">
        <v>27</v>
      </c>
      <c r="O177" t="str">
        <f t="shared" si="8"/>
        <v>2025-05</v>
      </c>
      <c r="P177" t="str">
        <f t="shared" si="9"/>
        <v>Medium</v>
      </c>
      <c r="Q177" t="str">
        <f t="shared" si="10"/>
        <v>No</v>
      </c>
      <c r="R177" s="10">
        <f t="shared" si="11"/>
        <v>0</v>
      </c>
    </row>
    <row r="178" spans="1:18">
      <c r="A178" t="s">
        <v>863</v>
      </c>
      <c r="B178" t="s">
        <v>864</v>
      </c>
      <c r="C178" t="s">
        <v>441</v>
      </c>
      <c r="D178" t="s">
        <v>41</v>
      </c>
      <c r="E178" t="s">
        <v>22</v>
      </c>
      <c r="F178" t="s">
        <v>35</v>
      </c>
      <c r="G178" s="7">
        <v>45806</v>
      </c>
      <c r="H178">
        <v>111</v>
      </c>
      <c r="I178">
        <v>0</v>
      </c>
      <c r="J178" t="s">
        <v>36</v>
      </c>
      <c r="K178" t="s">
        <v>25</v>
      </c>
      <c r="L178" t="s">
        <v>37</v>
      </c>
      <c r="M178">
        <v>26</v>
      </c>
      <c r="N178" t="s">
        <v>27</v>
      </c>
      <c r="O178" t="str">
        <f t="shared" si="8"/>
        <v>2025-05</v>
      </c>
      <c r="P178" t="str">
        <f t="shared" si="9"/>
        <v>High</v>
      </c>
      <c r="Q178" t="str">
        <f t="shared" si="10"/>
        <v>No</v>
      </c>
      <c r="R178" s="10">
        <f t="shared" si="11"/>
        <v>0</v>
      </c>
    </row>
    <row r="179" spans="1:18">
      <c r="A179" t="s">
        <v>261</v>
      </c>
      <c r="B179" t="s">
        <v>262</v>
      </c>
      <c r="C179" t="s">
        <v>263</v>
      </c>
      <c r="D179" t="s">
        <v>49</v>
      </c>
      <c r="E179" t="s">
        <v>22</v>
      </c>
      <c r="F179" t="s">
        <v>58</v>
      </c>
      <c r="G179" s="7">
        <v>45662</v>
      </c>
      <c r="H179">
        <v>100</v>
      </c>
      <c r="I179">
        <v>0</v>
      </c>
      <c r="J179" t="s">
        <v>36</v>
      </c>
      <c r="K179" t="s">
        <v>25</v>
      </c>
      <c r="L179" t="s">
        <v>37</v>
      </c>
      <c r="M179">
        <v>7</v>
      </c>
      <c r="N179" t="s">
        <v>27</v>
      </c>
      <c r="O179" t="str">
        <f t="shared" si="8"/>
        <v>2025-01</v>
      </c>
      <c r="P179" t="str">
        <f t="shared" si="9"/>
        <v>High</v>
      </c>
      <c r="Q179" t="str">
        <f t="shared" si="10"/>
        <v>No</v>
      </c>
      <c r="R179" s="10">
        <f t="shared" si="11"/>
        <v>0</v>
      </c>
    </row>
    <row r="180" spans="1:18">
      <c r="A180" t="s">
        <v>865</v>
      </c>
      <c r="B180" t="s">
        <v>866</v>
      </c>
      <c r="C180" t="s">
        <v>867</v>
      </c>
      <c r="D180" t="s">
        <v>49</v>
      </c>
      <c r="E180" t="s">
        <v>22</v>
      </c>
      <c r="F180" t="s">
        <v>73</v>
      </c>
      <c r="G180" s="7">
        <v>45801</v>
      </c>
      <c r="H180">
        <v>84</v>
      </c>
      <c r="I180">
        <v>0</v>
      </c>
      <c r="J180" t="s">
        <v>36</v>
      </c>
      <c r="K180" t="s">
        <v>25</v>
      </c>
      <c r="L180" t="s">
        <v>37</v>
      </c>
      <c r="M180">
        <v>36</v>
      </c>
      <c r="N180" t="s">
        <v>27</v>
      </c>
      <c r="O180" t="str">
        <f t="shared" si="8"/>
        <v>2025-05</v>
      </c>
      <c r="P180" t="str">
        <f t="shared" si="9"/>
        <v>High</v>
      </c>
      <c r="Q180" t="str">
        <f t="shared" si="10"/>
        <v>No</v>
      </c>
      <c r="R180" s="10">
        <f t="shared" si="11"/>
        <v>0</v>
      </c>
    </row>
    <row r="181" spans="1:18">
      <c r="A181" t="s">
        <v>545</v>
      </c>
      <c r="B181" t="s">
        <v>546</v>
      </c>
      <c r="C181" t="s">
        <v>547</v>
      </c>
      <c r="D181" t="s">
        <v>21</v>
      </c>
      <c r="E181" t="s">
        <v>34</v>
      </c>
      <c r="F181" t="s">
        <v>80</v>
      </c>
      <c r="G181" s="7">
        <v>45743</v>
      </c>
      <c r="H181">
        <v>90</v>
      </c>
      <c r="I181">
        <v>33.43</v>
      </c>
      <c r="J181" t="s">
        <v>24</v>
      </c>
      <c r="K181" t="s">
        <v>66</v>
      </c>
      <c r="L181" t="s">
        <v>26</v>
      </c>
      <c r="M181">
        <v>50</v>
      </c>
      <c r="N181" t="s">
        <v>27</v>
      </c>
      <c r="O181" t="str">
        <f t="shared" si="8"/>
        <v>2025-03</v>
      </c>
      <c r="P181" t="str">
        <f t="shared" si="9"/>
        <v>High</v>
      </c>
      <c r="Q181" t="str">
        <f t="shared" si="10"/>
        <v>Yes</v>
      </c>
      <c r="R181" s="10">
        <f t="shared" si="11"/>
        <v>0</v>
      </c>
    </row>
    <row r="182" spans="1:18">
      <c r="A182" t="s">
        <v>868</v>
      </c>
      <c r="B182" t="s">
        <v>869</v>
      </c>
      <c r="C182" t="s">
        <v>870</v>
      </c>
      <c r="D182" t="s">
        <v>49</v>
      </c>
      <c r="E182" t="s">
        <v>34</v>
      </c>
      <c r="F182" t="s">
        <v>58</v>
      </c>
      <c r="G182" s="7">
        <v>45799</v>
      </c>
      <c r="H182">
        <v>61</v>
      </c>
      <c r="I182">
        <v>23.71</v>
      </c>
      <c r="J182" t="s">
        <v>44</v>
      </c>
      <c r="K182" t="s">
        <v>25</v>
      </c>
      <c r="L182" t="s">
        <v>26</v>
      </c>
      <c r="M182">
        <v>37</v>
      </c>
      <c r="N182" t="s">
        <v>27</v>
      </c>
      <c r="O182" t="str">
        <f t="shared" si="8"/>
        <v>2025-05</v>
      </c>
      <c r="P182" t="str">
        <f t="shared" si="9"/>
        <v>High</v>
      </c>
      <c r="Q182" t="str">
        <f t="shared" si="10"/>
        <v>Yes</v>
      </c>
      <c r="R182" s="10">
        <f t="shared" si="11"/>
        <v>0</v>
      </c>
    </row>
    <row r="183" spans="1:18">
      <c r="A183" t="s">
        <v>679</v>
      </c>
      <c r="B183" t="s">
        <v>680</v>
      </c>
      <c r="C183" t="s">
        <v>681</v>
      </c>
      <c r="D183" t="s">
        <v>21</v>
      </c>
      <c r="E183" t="s">
        <v>42</v>
      </c>
      <c r="F183" t="s">
        <v>58</v>
      </c>
      <c r="G183" s="7">
        <v>45748</v>
      </c>
      <c r="H183">
        <v>88</v>
      </c>
      <c r="I183">
        <v>0</v>
      </c>
      <c r="J183" t="s">
        <v>36</v>
      </c>
      <c r="K183" t="s">
        <v>25</v>
      </c>
      <c r="L183" t="s">
        <v>37</v>
      </c>
      <c r="M183">
        <v>39</v>
      </c>
      <c r="N183" t="s">
        <v>27</v>
      </c>
      <c r="O183" t="str">
        <f t="shared" si="8"/>
        <v>2025-04</v>
      </c>
      <c r="P183" t="str">
        <f t="shared" si="9"/>
        <v>High</v>
      </c>
      <c r="Q183" t="str">
        <f t="shared" si="10"/>
        <v>No</v>
      </c>
      <c r="R183" s="10">
        <f t="shared" si="11"/>
        <v>0</v>
      </c>
    </row>
    <row r="184" spans="1:18">
      <c r="A184" t="s">
        <v>1202</v>
      </c>
      <c r="B184" t="s">
        <v>1203</v>
      </c>
      <c r="C184" t="s">
        <v>1204</v>
      </c>
      <c r="D184" t="s">
        <v>57</v>
      </c>
      <c r="E184" t="s">
        <v>42</v>
      </c>
      <c r="F184" t="s">
        <v>23</v>
      </c>
      <c r="G184" s="7">
        <v>45682</v>
      </c>
      <c r="H184">
        <v>56</v>
      </c>
      <c r="I184">
        <v>0</v>
      </c>
      <c r="J184" t="s">
        <v>36</v>
      </c>
      <c r="K184" t="s">
        <v>25</v>
      </c>
      <c r="L184" t="s">
        <v>37</v>
      </c>
      <c r="M184">
        <v>1</v>
      </c>
      <c r="N184" t="s">
        <v>27</v>
      </c>
      <c r="O184" t="str">
        <f t="shared" si="8"/>
        <v>2025-01</v>
      </c>
      <c r="P184" t="str">
        <f t="shared" si="9"/>
        <v>Medium</v>
      </c>
      <c r="Q184" t="str">
        <f t="shared" si="10"/>
        <v>No</v>
      </c>
      <c r="R184" s="10">
        <f t="shared" si="11"/>
        <v>0</v>
      </c>
    </row>
    <row r="185" spans="1:18">
      <c r="A185" t="s">
        <v>1205</v>
      </c>
      <c r="B185" t="s">
        <v>1206</v>
      </c>
      <c r="C185" t="s">
        <v>1207</v>
      </c>
      <c r="D185" t="s">
        <v>49</v>
      </c>
      <c r="E185" t="s">
        <v>42</v>
      </c>
      <c r="F185" t="s">
        <v>23</v>
      </c>
      <c r="G185" s="7">
        <v>45693</v>
      </c>
      <c r="H185">
        <v>54</v>
      </c>
      <c r="I185">
        <v>0</v>
      </c>
      <c r="J185" t="s">
        <v>36</v>
      </c>
      <c r="K185" t="s">
        <v>25</v>
      </c>
      <c r="L185" t="s">
        <v>37</v>
      </c>
      <c r="M185">
        <v>49</v>
      </c>
      <c r="N185" t="s">
        <v>27</v>
      </c>
      <c r="O185" t="str">
        <f t="shared" si="8"/>
        <v>2025-02</v>
      </c>
      <c r="P185" t="str">
        <f t="shared" si="9"/>
        <v>Medium</v>
      </c>
      <c r="Q185" t="str">
        <f t="shared" si="10"/>
        <v>No</v>
      </c>
      <c r="R185" s="10">
        <f t="shared" si="11"/>
        <v>0</v>
      </c>
    </row>
    <row r="186" spans="1:18">
      <c r="A186" t="s">
        <v>1208</v>
      </c>
      <c r="B186" t="s">
        <v>1209</v>
      </c>
      <c r="C186" t="s">
        <v>1210</v>
      </c>
      <c r="D186" t="s">
        <v>41</v>
      </c>
      <c r="E186" t="s">
        <v>34</v>
      </c>
      <c r="F186" t="s">
        <v>43</v>
      </c>
      <c r="G186" s="7">
        <v>45713</v>
      </c>
      <c r="H186">
        <v>27</v>
      </c>
      <c r="I186">
        <v>0</v>
      </c>
      <c r="J186" t="s">
        <v>36</v>
      </c>
      <c r="K186" t="s">
        <v>25</v>
      </c>
      <c r="L186" t="s">
        <v>26</v>
      </c>
      <c r="M186">
        <v>29</v>
      </c>
      <c r="N186" t="s">
        <v>27</v>
      </c>
      <c r="O186" t="str">
        <f t="shared" si="8"/>
        <v>2025-02</v>
      </c>
      <c r="P186" t="str">
        <f t="shared" si="9"/>
        <v>Medium</v>
      </c>
      <c r="Q186" t="str">
        <f t="shared" si="10"/>
        <v>No</v>
      </c>
      <c r="R186" s="10">
        <f t="shared" si="11"/>
        <v>0</v>
      </c>
    </row>
    <row r="187" spans="1:18">
      <c r="A187" t="s">
        <v>1211</v>
      </c>
      <c r="B187" t="s">
        <v>1212</v>
      </c>
      <c r="C187" t="s">
        <v>1213</v>
      </c>
      <c r="D187" t="s">
        <v>62</v>
      </c>
      <c r="E187" t="s">
        <v>34</v>
      </c>
      <c r="F187" t="s">
        <v>73</v>
      </c>
      <c r="G187" s="7">
        <v>45644</v>
      </c>
      <c r="H187">
        <v>30</v>
      </c>
      <c r="I187">
        <v>27.43</v>
      </c>
      <c r="J187" t="s">
        <v>173</v>
      </c>
      <c r="K187" t="s">
        <v>25</v>
      </c>
      <c r="L187" t="s">
        <v>26</v>
      </c>
      <c r="M187">
        <v>1</v>
      </c>
      <c r="N187" t="s">
        <v>27</v>
      </c>
      <c r="O187" t="str">
        <f t="shared" si="8"/>
        <v>2024-12</v>
      </c>
      <c r="P187" t="str">
        <f t="shared" si="9"/>
        <v>Medium</v>
      </c>
      <c r="Q187" t="str">
        <f t="shared" si="10"/>
        <v>Yes</v>
      </c>
      <c r="R187" s="10">
        <f t="shared" si="11"/>
        <v>0</v>
      </c>
    </row>
    <row r="188" spans="1:18">
      <c r="A188" t="s">
        <v>430</v>
      </c>
      <c r="B188" t="s">
        <v>431</v>
      </c>
      <c r="C188" t="s">
        <v>432</v>
      </c>
      <c r="D188" t="s">
        <v>57</v>
      </c>
      <c r="E188" t="s">
        <v>34</v>
      </c>
      <c r="F188" t="s">
        <v>73</v>
      </c>
      <c r="G188" s="7">
        <v>45714</v>
      </c>
      <c r="H188">
        <v>128</v>
      </c>
      <c r="I188">
        <v>0</v>
      </c>
      <c r="J188" t="s">
        <v>36</v>
      </c>
      <c r="K188" t="s">
        <v>45</v>
      </c>
      <c r="L188" t="s">
        <v>37</v>
      </c>
      <c r="M188">
        <v>36</v>
      </c>
      <c r="N188" t="s">
        <v>27</v>
      </c>
      <c r="O188" t="str">
        <f t="shared" si="8"/>
        <v>2025-02</v>
      </c>
      <c r="P188" t="str">
        <f t="shared" si="9"/>
        <v>High</v>
      </c>
      <c r="Q188" t="str">
        <f t="shared" si="10"/>
        <v>No</v>
      </c>
      <c r="R188" s="10">
        <f t="shared" si="11"/>
        <v>0</v>
      </c>
    </row>
    <row r="189" spans="1:18">
      <c r="A189" t="s">
        <v>1214</v>
      </c>
      <c r="B189" t="s">
        <v>504</v>
      </c>
      <c r="C189" t="s">
        <v>1215</v>
      </c>
      <c r="D189" t="s">
        <v>57</v>
      </c>
      <c r="E189" t="s">
        <v>42</v>
      </c>
      <c r="F189" t="s">
        <v>58</v>
      </c>
      <c r="G189" s="7">
        <v>45716</v>
      </c>
      <c r="H189">
        <v>16</v>
      </c>
      <c r="I189">
        <v>36</v>
      </c>
      <c r="J189" t="s">
        <v>129</v>
      </c>
      <c r="K189" t="s">
        <v>25</v>
      </c>
      <c r="L189" t="s">
        <v>26</v>
      </c>
      <c r="M189">
        <v>40</v>
      </c>
      <c r="N189" t="s">
        <v>27</v>
      </c>
      <c r="O189" t="str">
        <f t="shared" si="8"/>
        <v>2025-02</v>
      </c>
      <c r="P189" t="str">
        <f t="shared" si="9"/>
        <v>Low</v>
      </c>
      <c r="Q189" t="str">
        <f t="shared" si="10"/>
        <v>Yes</v>
      </c>
      <c r="R189" s="10">
        <f t="shared" si="11"/>
        <v>0</v>
      </c>
    </row>
    <row r="190" spans="1:18">
      <c r="A190" t="s">
        <v>1216</v>
      </c>
      <c r="B190" t="s">
        <v>1217</v>
      </c>
      <c r="C190" t="s">
        <v>1218</v>
      </c>
      <c r="D190" t="s">
        <v>41</v>
      </c>
      <c r="E190" t="s">
        <v>42</v>
      </c>
      <c r="F190" t="s">
        <v>23</v>
      </c>
      <c r="G190" s="7">
        <v>45800</v>
      </c>
      <c r="H190">
        <v>57</v>
      </c>
      <c r="I190">
        <v>0</v>
      </c>
      <c r="J190" t="s">
        <v>36</v>
      </c>
      <c r="K190" t="s">
        <v>25</v>
      </c>
      <c r="L190" t="s">
        <v>37</v>
      </c>
      <c r="M190">
        <v>18</v>
      </c>
      <c r="N190" t="s">
        <v>27</v>
      </c>
      <c r="O190" t="str">
        <f t="shared" si="8"/>
        <v>2025-05</v>
      </c>
      <c r="P190" t="str">
        <f t="shared" si="9"/>
        <v>Medium</v>
      </c>
      <c r="Q190" t="str">
        <f t="shared" si="10"/>
        <v>No</v>
      </c>
      <c r="R190" s="10">
        <f t="shared" si="11"/>
        <v>0</v>
      </c>
    </row>
    <row r="191" spans="1:18">
      <c r="A191" t="s">
        <v>874</v>
      </c>
      <c r="B191" t="s">
        <v>875</v>
      </c>
      <c r="C191" t="s">
        <v>876</v>
      </c>
      <c r="D191" t="s">
        <v>57</v>
      </c>
      <c r="E191" t="s">
        <v>42</v>
      </c>
      <c r="F191" t="s">
        <v>73</v>
      </c>
      <c r="G191" s="7">
        <v>45797</v>
      </c>
      <c r="H191">
        <v>153</v>
      </c>
      <c r="I191">
        <v>0</v>
      </c>
      <c r="J191" t="s">
        <v>36</v>
      </c>
      <c r="K191" t="s">
        <v>25</v>
      </c>
      <c r="L191" t="s">
        <v>37</v>
      </c>
      <c r="M191">
        <v>1</v>
      </c>
      <c r="N191" t="s">
        <v>30</v>
      </c>
      <c r="O191" t="str">
        <f t="shared" si="8"/>
        <v>2025-05</v>
      </c>
      <c r="P191" t="str">
        <f t="shared" si="9"/>
        <v>High</v>
      </c>
      <c r="Q191" t="str">
        <f t="shared" si="10"/>
        <v>No</v>
      </c>
      <c r="R191" s="10">
        <f t="shared" si="11"/>
        <v>1</v>
      </c>
    </row>
    <row r="192" spans="1:18">
      <c r="A192" t="s">
        <v>264</v>
      </c>
      <c r="B192" t="s">
        <v>265</v>
      </c>
      <c r="C192" t="s">
        <v>266</v>
      </c>
      <c r="D192" t="s">
        <v>57</v>
      </c>
      <c r="E192" t="s">
        <v>22</v>
      </c>
      <c r="F192" t="s">
        <v>73</v>
      </c>
      <c r="G192" s="7">
        <v>45682</v>
      </c>
      <c r="H192">
        <v>130</v>
      </c>
      <c r="I192">
        <v>0</v>
      </c>
      <c r="J192" t="s">
        <v>36</v>
      </c>
      <c r="K192" t="s">
        <v>25</v>
      </c>
      <c r="L192" t="s">
        <v>26</v>
      </c>
      <c r="M192">
        <v>8</v>
      </c>
      <c r="N192" t="s">
        <v>27</v>
      </c>
      <c r="O192" t="str">
        <f t="shared" si="8"/>
        <v>2025-01</v>
      </c>
      <c r="P192" t="str">
        <f t="shared" si="9"/>
        <v>High</v>
      </c>
      <c r="Q192" t="str">
        <f t="shared" si="10"/>
        <v>No</v>
      </c>
      <c r="R192" s="10">
        <f t="shared" si="11"/>
        <v>0</v>
      </c>
    </row>
    <row r="193" spans="1:18">
      <c r="A193" t="s">
        <v>1219</v>
      </c>
      <c r="B193" t="s">
        <v>1220</v>
      </c>
      <c r="C193" t="s">
        <v>1221</v>
      </c>
      <c r="D193" t="s">
        <v>49</v>
      </c>
      <c r="E193" t="s">
        <v>34</v>
      </c>
      <c r="F193" t="s">
        <v>35</v>
      </c>
      <c r="G193" s="7">
        <v>45650</v>
      </c>
      <c r="H193">
        <v>47</v>
      </c>
      <c r="I193">
        <v>12.41</v>
      </c>
      <c r="J193" t="s">
        <v>173</v>
      </c>
      <c r="K193" t="s">
        <v>25</v>
      </c>
      <c r="L193" t="s">
        <v>26</v>
      </c>
      <c r="M193">
        <v>36</v>
      </c>
      <c r="N193" t="s">
        <v>27</v>
      </c>
      <c r="O193" t="str">
        <f t="shared" si="8"/>
        <v>2024-12</v>
      </c>
      <c r="P193" t="str">
        <f t="shared" si="9"/>
        <v>Medium</v>
      </c>
      <c r="Q193" t="str">
        <f t="shared" si="10"/>
        <v>Yes</v>
      </c>
      <c r="R193" s="10">
        <f t="shared" si="11"/>
        <v>0</v>
      </c>
    </row>
    <row r="194" spans="1:18">
      <c r="A194" t="s">
        <v>1222</v>
      </c>
      <c r="B194" t="s">
        <v>1223</v>
      </c>
      <c r="C194" t="s">
        <v>1224</v>
      </c>
      <c r="D194" t="s">
        <v>41</v>
      </c>
      <c r="E194" t="s">
        <v>34</v>
      </c>
      <c r="F194" t="s">
        <v>43</v>
      </c>
      <c r="G194" s="7">
        <v>45717</v>
      </c>
      <c r="H194">
        <v>53</v>
      </c>
      <c r="I194">
        <v>0</v>
      </c>
      <c r="J194" t="s">
        <v>36</v>
      </c>
      <c r="K194" t="s">
        <v>53</v>
      </c>
      <c r="L194" t="s">
        <v>37</v>
      </c>
      <c r="M194">
        <v>28</v>
      </c>
      <c r="N194" t="s">
        <v>27</v>
      </c>
      <c r="O194" t="str">
        <f t="shared" si="8"/>
        <v>2025-03</v>
      </c>
      <c r="P194" t="str">
        <f t="shared" si="9"/>
        <v>Medium</v>
      </c>
      <c r="Q194" t="str">
        <f t="shared" si="10"/>
        <v>No</v>
      </c>
      <c r="R194" s="10">
        <f t="shared" si="11"/>
        <v>0</v>
      </c>
    </row>
    <row r="195" spans="1:18">
      <c r="A195" t="s">
        <v>1225</v>
      </c>
      <c r="B195" t="s">
        <v>1226</v>
      </c>
      <c r="C195" t="s">
        <v>1227</v>
      </c>
      <c r="D195" t="s">
        <v>57</v>
      </c>
      <c r="E195" t="s">
        <v>34</v>
      </c>
      <c r="F195" t="s">
        <v>80</v>
      </c>
      <c r="G195" s="7">
        <v>45746</v>
      </c>
      <c r="H195">
        <v>19</v>
      </c>
      <c r="I195">
        <v>0</v>
      </c>
      <c r="J195" t="s">
        <v>36</v>
      </c>
      <c r="K195" t="s">
        <v>25</v>
      </c>
      <c r="L195" t="s">
        <v>37</v>
      </c>
      <c r="M195">
        <v>27</v>
      </c>
      <c r="N195" t="s">
        <v>27</v>
      </c>
      <c r="O195" t="str">
        <f t="shared" ref="O195:O258" si="12">TEXT(G195,"yyyy-mm")</f>
        <v>2025-03</v>
      </c>
      <c r="P195" t="str">
        <f t="shared" ref="P195:P258" si="13">IF(H195&lt;20,"Low",IF(H195&lt;=60,"Medium","High"))</f>
        <v>Low</v>
      </c>
      <c r="Q195" t="str">
        <f t="shared" ref="Q195:Q258" si="14">IF(I195&gt;0,"Yes","No")</f>
        <v>No</v>
      </c>
      <c r="R195" s="10">
        <f t="shared" ref="R195:R258" si="15">IF(N195="Yes",1,0)</f>
        <v>0</v>
      </c>
    </row>
    <row r="196" spans="1:18">
      <c r="A196" t="s">
        <v>105</v>
      </c>
      <c r="B196" t="s">
        <v>106</v>
      </c>
      <c r="C196" t="s">
        <v>107</v>
      </c>
      <c r="D196" t="s">
        <v>21</v>
      </c>
      <c r="E196" t="s">
        <v>22</v>
      </c>
      <c r="F196" t="s">
        <v>35</v>
      </c>
      <c r="G196" s="7">
        <v>45654</v>
      </c>
      <c r="H196">
        <v>117</v>
      </c>
      <c r="I196">
        <v>0</v>
      </c>
      <c r="J196" t="s">
        <v>36</v>
      </c>
      <c r="K196" t="s">
        <v>25</v>
      </c>
      <c r="L196" t="s">
        <v>37</v>
      </c>
      <c r="M196">
        <v>17</v>
      </c>
      <c r="N196" t="s">
        <v>27</v>
      </c>
      <c r="O196" t="str">
        <f t="shared" si="12"/>
        <v>2024-12</v>
      </c>
      <c r="P196" t="str">
        <f t="shared" si="13"/>
        <v>High</v>
      </c>
      <c r="Q196" t="str">
        <f t="shared" si="14"/>
        <v>No</v>
      </c>
      <c r="R196" s="10">
        <f t="shared" si="15"/>
        <v>0</v>
      </c>
    </row>
    <row r="197" spans="1:18">
      <c r="A197" t="s">
        <v>1228</v>
      </c>
      <c r="B197" t="s">
        <v>1229</v>
      </c>
      <c r="C197" t="s">
        <v>1230</v>
      </c>
      <c r="D197" t="s">
        <v>57</v>
      </c>
      <c r="E197" t="s">
        <v>42</v>
      </c>
      <c r="F197" t="s">
        <v>23</v>
      </c>
      <c r="G197" s="7">
        <v>45659</v>
      </c>
      <c r="H197">
        <v>35</v>
      </c>
      <c r="I197">
        <v>18.72</v>
      </c>
      <c r="J197" t="s">
        <v>129</v>
      </c>
      <c r="K197" t="s">
        <v>25</v>
      </c>
      <c r="L197" t="s">
        <v>26</v>
      </c>
      <c r="M197">
        <v>20</v>
      </c>
      <c r="N197" t="s">
        <v>27</v>
      </c>
      <c r="O197" t="str">
        <f t="shared" si="12"/>
        <v>2025-01</v>
      </c>
      <c r="P197" t="str">
        <f t="shared" si="13"/>
        <v>Medium</v>
      </c>
      <c r="Q197" t="str">
        <f t="shared" si="14"/>
        <v>Yes</v>
      </c>
      <c r="R197" s="10">
        <f t="shared" si="15"/>
        <v>0</v>
      </c>
    </row>
    <row r="198" spans="1:18">
      <c r="A198" t="s">
        <v>880</v>
      </c>
      <c r="B198" t="s">
        <v>881</v>
      </c>
      <c r="C198" t="s">
        <v>882</v>
      </c>
      <c r="D198" t="s">
        <v>21</v>
      </c>
      <c r="E198" t="s">
        <v>22</v>
      </c>
      <c r="F198" t="s">
        <v>58</v>
      </c>
      <c r="G198" s="7">
        <v>45788</v>
      </c>
      <c r="H198">
        <v>138</v>
      </c>
      <c r="I198">
        <v>0</v>
      </c>
      <c r="J198" t="s">
        <v>36</v>
      </c>
      <c r="K198" t="s">
        <v>25</v>
      </c>
      <c r="L198" t="s">
        <v>37</v>
      </c>
      <c r="M198">
        <v>47</v>
      </c>
      <c r="N198" t="s">
        <v>27</v>
      </c>
      <c r="O198" t="str">
        <f t="shared" si="12"/>
        <v>2025-05</v>
      </c>
      <c r="P198" t="str">
        <f t="shared" si="13"/>
        <v>High</v>
      </c>
      <c r="Q198" t="str">
        <f t="shared" si="14"/>
        <v>No</v>
      </c>
      <c r="R198" s="10">
        <f t="shared" si="15"/>
        <v>0</v>
      </c>
    </row>
    <row r="199" spans="1:18">
      <c r="A199" t="s">
        <v>1231</v>
      </c>
      <c r="B199" t="s">
        <v>1232</v>
      </c>
      <c r="C199" t="s">
        <v>1233</v>
      </c>
      <c r="D199" t="s">
        <v>49</v>
      </c>
      <c r="E199" t="s">
        <v>42</v>
      </c>
      <c r="F199" t="s">
        <v>80</v>
      </c>
      <c r="G199" s="7">
        <v>45687</v>
      </c>
      <c r="H199">
        <v>45</v>
      </c>
      <c r="I199">
        <v>0</v>
      </c>
      <c r="J199" t="s">
        <v>36</v>
      </c>
      <c r="K199" t="s">
        <v>25</v>
      </c>
      <c r="L199" t="s">
        <v>37</v>
      </c>
      <c r="M199">
        <v>24</v>
      </c>
      <c r="N199" t="s">
        <v>27</v>
      </c>
      <c r="O199" t="str">
        <f t="shared" si="12"/>
        <v>2025-01</v>
      </c>
      <c r="P199" t="str">
        <f t="shared" si="13"/>
        <v>Medium</v>
      </c>
      <c r="Q199" t="str">
        <f t="shared" si="14"/>
        <v>No</v>
      </c>
      <c r="R199" s="10">
        <f t="shared" si="15"/>
        <v>0</v>
      </c>
    </row>
    <row r="200" spans="1:18">
      <c r="A200" t="s">
        <v>886</v>
      </c>
      <c r="B200" t="s">
        <v>887</v>
      </c>
      <c r="C200" t="s">
        <v>888</v>
      </c>
      <c r="D200" t="s">
        <v>62</v>
      </c>
      <c r="E200" t="s">
        <v>42</v>
      </c>
      <c r="F200" t="s">
        <v>73</v>
      </c>
      <c r="G200" s="7">
        <v>45808</v>
      </c>
      <c r="H200">
        <v>97</v>
      </c>
      <c r="I200">
        <v>0</v>
      </c>
      <c r="J200" t="s">
        <v>36</v>
      </c>
      <c r="K200" t="s">
        <v>25</v>
      </c>
      <c r="L200" t="s">
        <v>37</v>
      </c>
      <c r="M200">
        <v>5</v>
      </c>
      <c r="N200" t="s">
        <v>27</v>
      </c>
      <c r="O200" t="str">
        <f t="shared" si="12"/>
        <v>2025-05</v>
      </c>
      <c r="P200" t="str">
        <f t="shared" si="13"/>
        <v>High</v>
      </c>
      <c r="Q200" t="str">
        <f t="shared" si="14"/>
        <v>No</v>
      </c>
      <c r="R200" s="10">
        <f t="shared" si="15"/>
        <v>0</v>
      </c>
    </row>
    <row r="201" spans="1:18">
      <c r="A201" t="s">
        <v>1234</v>
      </c>
      <c r="B201" t="s">
        <v>1235</v>
      </c>
      <c r="C201" t="s">
        <v>1236</v>
      </c>
      <c r="D201" t="s">
        <v>62</v>
      </c>
      <c r="E201" t="s">
        <v>22</v>
      </c>
      <c r="F201" t="s">
        <v>23</v>
      </c>
      <c r="G201" s="7">
        <v>45692</v>
      </c>
      <c r="H201">
        <v>18</v>
      </c>
      <c r="I201">
        <v>0</v>
      </c>
      <c r="J201" t="s">
        <v>36</v>
      </c>
      <c r="K201" t="s">
        <v>25</v>
      </c>
      <c r="L201" t="s">
        <v>37</v>
      </c>
      <c r="M201">
        <v>14</v>
      </c>
      <c r="N201" t="s">
        <v>27</v>
      </c>
      <c r="O201" t="str">
        <f t="shared" si="12"/>
        <v>2025-02</v>
      </c>
      <c r="P201" t="str">
        <f t="shared" si="13"/>
        <v>Low</v>
      </c>
      <c r="Q201" t="str">
        <f t="shared" si="14"/>
        <v>No</v>
      </c>
      <c r="R201" s="10">
        <f t="shared" si="15"/>
        <v>0</v>
      </c>
    </row>
    <row r="202" spans="1:18">
      <c r="A202" t="s">
        <v>1237</v>
      </c>
      <c r="B202" t="s">
        <v>1238</v>
      </c>
      <c r="C202" t="s">
        <v>1239</v>
      </c>
      <c r="D202" t="s">
        <v>62</v>
      </c>
      <c r="E202" t="s">
        <v>22</v>
      </c>
      <c r="F202" t="s">
        <v>73</v>
      </c>
      <c r="G202" s="7">
        <v>45751</v>
      </c>
      <c r="H202">
        <v>7</v>
      </c>
      <c r="I202">
        <v>0</v>
      </c>
      <c r="J202" t="s">
        <v>36</v>
      </c>
      <c r="K202" t="s">
        <v>53</v>
      </c>
      <c r="L202" t="s">
        <v>37</v>
      </c>
      <c r="M202">
        <v>22</v>
      </c>
      <c r="N202" t="s">
        <v>27</v>
      </c>
      <c r="O202" t="str">
        <f t="shared" si="12"/>
        <v>2025-04</v>
      </c>
      <c r="P202" t="str">
        <f t="shared" si="13"/>
        <v>Low</v>
      </c>
      <c r="Q202" t="str">
        <f t="shared" si="14"/>
        <v>No</v>
      </c>
      <c r="R202" s="10">
        <f t="shared" si="15"/>
        <v>0</v>
      </c>
    </row>
    <row r="203" spans="1:18">
      <c r="A203" t="s">
        <v>1240</v>
      </c>
      <c r="B203" t="s">
        <v>1241</v>
      </c>
      <c r="C203" t="s">
        <v>1242</v>
      </c>
      <c r="D203" t="s">
        <v>49</v>
      </c>
      <c r="E203" t="s">
        <v>34</v>
      </c>
      <c r="F203" t="s">
        <v>43</v>
      </c>
      <c r="G203" s="7">
        <v>45742</v>
      </c>
      <c r="H203">
        <v>42</v>
      </c>
      <c r="I203">
        <v>32.85</v>
      </c>
      <c r="J203" t="s">
        <v>173</v>
      </c>
      <c r="K203" t="s">
        <v>53</v>
      </c>
      <c r="L203" t="s">
        <v>26</v>
      </c>
      <c r="M203">
        <v>38</v>
      </c>
      <c r="N203" t="s">
        <v>27</v>
      </c>
      <c r="O203" t="str">
        <f t="shared" si="12"/>
        <v>2025-03</v>
      </c>
      <c r="P203" t="str">
        <f t="shared" si="13"/>
        <v>Medium</v>
      </c>
      <c r="Q203" t="str">
        <f t="shared" si="14"/>
        <v>Yes</v>
      </c>
      <c r="R203" s="10">
        <f t="shared" si="15"/>
        <v>0</v>
      </c>
    </row>
    <row r="204" spans="1:18">
      <c r="A204" t="s">
        <v>685</v>
      </c>
      <c r="B204" t="s">
        <v>686</v>
      </c>
      <c r="C204" t="s">
        <v>687</v>
      </c>
      <c r="D204" t="s">
        <v>21</v>
      </c>
      <c r="E204" t="s">
        <v>34</v>
      </c>
      <c r="F204" t="s">
        <v>58</v>
      </c>
      <c r="G204" s="7">
        <v>45758</v>
      </c>
      <c r="H204">
        <v>111</v>
      </c>
      <c r="I204">
        <v>0</v>
      </c>
      <c r="J204" t="s">
        <v>36</v>
      </c>
      <c r="K204" t="s">
        <v>25</v>
      </c>
      <c r="L204" t="s">
        <v>37</v>
      </c>
      <c r="M204">
        <v>39</v>
      </c>
      <c r="N204" t="s">
        <v>27</v>
      </c>
      <c r="O204" t="str">
        <f t="shared" si="12"/>
        <v>2025-04</v>
      </c>
      <c r="P204" t="str">
        <f t="shared" si="13"/>
        <v>High</v>
      </c>
      <c r="Q204" t="str">
        <f t="shared" si="14"/>
        <v>No</v>
      </c>
      <c r="R204" s="10">
        <f t="shared" si="15"/>
        <v>0</v>
      </c>
    </row>
    <row r="205" spans="1:18">
      <c r="A205" t="s">
        <v>1243</v>
      </c>
      <c r="B205" t="s">
        <v>1244</v>
      </c>
      <c r="C205" t="s">
        <v>1245</v>
      </c>
      <c r="D205" t="s">
        <v>21</v>
      </c>
      <c r="E205" t="s">
        <v>34</v>
      </c>
      <c r="F205" t="s">
        <v>35</v>
      </c>
      <c r="G205" s="7">
        <v>45782</v>
      </c>
      <c r="H205">
        <v>32</v>
      </c>
      <c r="I205">
        <v>0</v>
      </c>
      <c r="J205" t="s">
        <v>36</v>
      </c>
      <c r="K205" t="s">
        <v>53</v>
      </c>
      <c r="L205" t="s">
        <v>37</v>
      </c>
      <c r="M205">
        <v>22</v>
      </c>
      <c r="N205" t="s">
        <v>27</v>
      </c>
      <c r="O205" t="str">
        <f t="shared" si="12"/>
        <v>2025-05</v>
      </c>
      <c r="P205" t="str">
        <f t="shared" si="13"/>
        <v>Medium</v>
      </c>
      <c r="Q205" t="str">
        <f t="shared" si="14"/>
        <v>No</v>
      </c>
      <c r="R205" s="10">
        <f t="shared" si="15"/>
        <v>0</v>
      </c>
    </row>
    <row r="206" spans="1:18">
      <c r="A206" t="s">
        <v>1246</v>
      </c>
      <c r="B206" t="s">
        <v>1247</v>
      </c>
      <c r="C206" t="s">
        <v>1248</v>
      </c>
      <c r="D206" t="s">
        <v>57</v>
      </c>
      <c r="E206" t="s">
        <v>22</v>
      </c>
      <c r="F206" t="s">
        <v>58</v>
      </c>
      <c r="G206" s="7">
        <v>45805</v>
      </c>
      <c r="H206">
        <v>46</v>
      </c>
      <c r="I206">
        <v>0</v>
      </c>
      <c r="J206" t="s">
        <v>36</v>
      </c>
      <c r="K206" t="s">
        <v>25</v>
      </c>
      <c r="L206" t="s">
        <v>26</v>
      </c>
      <c r="M206">
        <v>42</v>
      </c>
      <c r="N206" t="s">
        <v>27</v>
      </c>
      <c r="O206" t="str">
        <f t="shared" si="12"/>
        <v>2025-05</v>
      </c>
      <c r="P206" t="str">
        <f t="shared" si="13"/>
        <v>Medium</v>
      </c>
      <c r="Q206" t="str">
        <f t="shared" si="14"/>
        <v>No</v>
      </c>
      <c r="R206" s="10">
        <f t="shared" si="15"/>
        <v>0</v>
      </c>
    </row>
    <row r="207" spans="1:18">
      <c r="A207" t="s">
        <v>895</v>
      </c>
      <c r="B207" t="s">
        <v>896</v>
      </c>
      <c r="C207" t="s">
        <v>897</v>
      </c>
      <c r="D207" t="s">
        <v>49</v>
      </c>
      <c r="E207" t="s">
        <v>42</v>
      </c>
      <c r="F207" t="s">
        <v>23</v>
      </c>
      <c r="G207" s="7">
        <v>45802</v>
      </c>
      <c r="H207">
        <v>98</v>
      </c>
      <c r="I207">
        <v>0</v>
      </c>
      <c r="J207" t="s">
        <v>36</v>
      </c>
      <c r="K207" t="s">
        <v>25</v>
      </c>
      <c r="L207" t="s">
        <v>26</v>
      </c>
      <c r="M207">
        <v>30</v>
      </c>
      <c r="N207" t="s">
        <v>27</v>
      </c>
      <c r="O207" t="str">
        <f t="shared" si="12"/>
        <v>2025-05</v>
      </c>
      <c r="P207" t="str">
        <f t="shared" si="13"/>
        <v>High</v>
      </c>
      <c r="Q207" t="str">
        <f t="shared" si="14"/>
        <v>No</v>
      </c>
      <c r="R207" s="10">
        <f t="shared" si="15"/>
        <v>0</v>
      </c>
    </row>
    <row r="208" spans="1:18">
      <c r="A208" t="s">
        <v>898</v>
      </c>
      <c r="B208" t="s">
        <v>899</v>
      </c>
      <c r="C208" t="s">
        <v>900</v>
      </c>
      <c r="D208" t="s">
        <v>49</v>
      </c>
      <c r="E208" t="s">
        <v>42</v>
      </c>
      <c r="F208" t="s">
        <v>73</v>
      </c>
      <c r="G208" s="7">
        <v>45791</v>
      </c>
      <c r="H208">
        <v>85</v>
      </c>
      <c r="I208">
        <v>0</v>
      </c>
      <c r="J208" t="s">
        <v>36</v>
      </c>
      <c r="K208" t="s">
        <v>25</v>
      </c>
      <c r="L208" t="s">
        <v>37</v>
      </c>
      <c r="M208">
        <v>4</v>
      </c>
      <c r="N208" t="s">
        <v>27</v>
      </c>
      <c r="O208" t="str">
        <f t="shared" si="12"/>
        <v>2025-05</v>
      </c>
      <c r="P208" t="str">
        <f t="shared" si="13"/>
        <v>High</v>
      </c>
      <c r="Q208" t="str">
        <f t="shared" si="14"/>
        <v>No</v>
      </c>
      <c r="R208" s="10">
        <f t="shared" si="15"/>
        <v>0</v>
      </c>
    </row>
    <row r="209" spans="1:18">
      <c r="A209" t="s">
        <v>901</v>
      </c>
      <c r="B209" t="s">
        <v>902</v>
      </c>
      <c r="C209" t="s">
        <v>903</v>
      </c>
      <c r="D209" t="s">
        <v>49</v>
      </c>
      <c r="E209" t="s">
        <v>42</v>
      </c>
      <c r="F209" t="s">
        <v>58</v>
      </c>
      <c r="G209" s="7">
        <v>45790</v>
      </c>
      <c r="H209">
        <v>135</v>
      </c>
      <c r="I209">
        <v>0</v>
      </c>
      <c r="J209" t="s">
        <v>36</v>
      </c>
      <c r="K209" t="s">
        <v>25</v>
      </c>
      <c r="L209" t="s">
        <v>26</v>
      </c>
      <c r="M209">
        <v>42</v>
      </c>
      <c r="N209" t="s">
        <v>27</v>
      </c>
      <c r="O209" t="str">
        <f t="shared" si="12"/>
        <v>2025-05</v>
      </c>
      <c r="P209" t="str">
        <f t="shared" si="13"/>
        <v>High</v>
      </c>
      <c r="Q209" t="str">
        <f t="shared" si="14"/>
        <v>No</v>
      </c>
      <c r="R209" s="10">
        <f t="shared" si="15"/>
        <v>0</v>
      </c>
    </row>
    <row r="210" spans="1:18">
      <c r="A210" t="s">
        <v>108</v>
      </c>
      <c r="B210" t="s">
        <v>109</v>
      </c>
      <c r="C210" t="s">
        <v>110</v>
      </c>
      <c r="D210" t="s">
        <v>49</v>
      </c>
      <c r="E210" t="s">
        <v>22</v>
      </c>
      <c r="F210" t="s">
        <v>43</v>
      </c>
      <c r="G210" s="7">
        <v>45641</v>
      </c>
      <c r="H210">
        <v>109</v>
      </c>
      <c r="I210">
        <v>0</v>
      </c>
      <c r="J210" t="s">
        <v>36</v>
      </c>
      <c r="K210" t="s">
        <v>25</v>
      </c>
      <c r="L210" t="s">
        <v>37</v>
      </c>
      <c r="M210">
        <v>15</v>
      </c>
      <c r="N210" t="s">
        <v>27</v>
      </c>
      <c r="O210" t="str">
        <f t="shared" si="12"/>
        <v>2024-12</v>
      </c>
      <c r="P210" t="str">
        <f t="shared" si="13"/>
        <v>High</v>
      </c>
      <c r="Q210" t="str">
        <f t="shared" si="14"/>
        <v>No</v>
      </c>
      <c r="R210" s="10">
        <f t="shared" si="15"/>
        <v>0</v>
      </c>
    </row>
    <row r="211" spans="1:18">
      <c r="A211" t="s">
        <v>1249</v>
      </c>
      <c r="B211" t="s">
        <v>1250</v>
      </c>
      <c r="C211" t="s">
        <v>1251</v>
      </c>
      <c r="D211" t="s">
        <v>41</v>
      </c>
      <c r="E211" t="s">
        <v>34</v>
      </c>
      <c r="F211" t="s">
        <v>43</v>
      </c>
      <c r="G211" s="7">
        <v>45790</v>
      </c>
      <c r="H211">
        <v>41</v>
      </c>
      <c r="I211">
        <v>0</v>
      </c>
      <c r="J211" t="s">
        <v>36</v>
      </c>
      <c r="K211" t="s">
        <v>25</v>
      </c>
      <c r="L211" t="s">
        <v>37</v>
      </c>
      <c r="M211">
        <v>14</v>
      </c>
      <c r="N211" t="s">
        <v>27</v>
      </c>
      <c r="O211" t="str">
        <f t="shared" si="12"/>
        <v>2025-05</v>
      </c>
      <c r="P211" t="str">
        <f t="shared" si="13"/>
        <v>Medium</v>
      </c>
      <c r="Q211" t="str">
        <f t="shared" si="14"/>
        <v>No</v>
      </c>
      <c r="R211" s="10">
        <f t="shared" si="15"/>
        <v>0</v>
      </c>
    </row>
    <row r="212" spans="1:18">
      <c r="A212" t="s">
        <v>1252</v>
      </c>
      <c r="B212" t="s">
        <v>1253</v>
      </c>
      <c r="C212" t="s">
        <v>1254</v>
      </c>
      <c r="D212" t="s">
        <v>21</v>
      </c>
      <c r="E212" t="s">
        <v>42</v>
      </c>
      <c r="F212" t="s">
        <v>73</v>
      </c>
      <c r="G212" s="7">
        <v>45686</v>
      </c>
      <c r="H212">
        <v>47</v>
      </c>
      <c r="I212">
        <v>8.61</v>
      </c>
      <c r="J212" t="s">
        <v>173</v>
      </c>
      <c r="K212" t="s">
        <v>25</v>
      </c>
      <c r="L212" t="s">
        <v>26</v>
      </c>
      <c r="M212">
        <v>1</v>
      </c>
      <c r="N212" t="s">
        <v>27</v>
      </c>
      <c r="O212" t="str">
        <f t="shared" si="12"/>
        <v>2025-01</v>
      </c>
      <c r="P212" t="str">
        <f t="shared" si="13"/>
        <v>Medium</v>
      </c>
      <c r="Q212" t="str">
        <f t="shared" si="14"/>
        <v>Yes</v>
      </c>
      <c r="R212" s="10">
        <f t="shared" si="15"/>
        <v>0</v>
      </c>
    </row>
    <row r="213" spans="1:18">
      <c r="A213" t="s">
        <v>554</v>
      </c>
      <c r="B213" t="s">
        <v>555</v>
      </c>
      <c r="C213" t="s">
        <v>556</v>
      </c>
      <c r="D213" t="s">
        <v>57</v>
      </c>
      <c r="E213" t="s">
        <v>42</v>
      </c>
      <c r="F213" t="s">
        <v>23</v>
      </c>
      <c r="G213" s="7">
        <v>45738</v>
      </c>
      <c r="H213">
        <v>141</v>
      </c>
      <c r="I213">
        <v>0</v>
      </c>
      <c r="J213" t="s">
        <v>36</v>
      </c>
      <c r="K213" t="s">
        <v>25</v>
      </c>
      <c r="L213" t="s">
        <v>37</v>
      </c>
      <c r="M213">
        <v>17</v>
      </c>
      <c r="N213" t="s">
        <v>27</v>
      </c>
      <c r="O213" t="str">
        <f t="shared" si="12"/>
        <v>2025-03</v>
      </c>
      <c r="P213" t="str">
        <f t="shared" si="13"/>
        <v>High</v>
      </c>
      <c r="Q213" t="str">
        <f t="shared" si="14"/>
        <v>No</v>
      </c>
      <c r="R213" s="10">
        <f t="shared" si="15"/>
        <v>0</v>
      </c>
    </row>
    <row r="214" spans="1:18">
      <c r="A214" t="s">
        <v>1255</v>
      </c>
      <c r="B214" t="s">
        <v>1256</v>
      </c>
      <c r="C214" t="s">
        <v>1257</v>
      </c>
      <c r="D214" t="s">
        <v>62</v>
      </c>
      <c r="E214" t="s">
        <v>22</v>
      </c>
      <c r="F214" t="s">
        <v>35</v>
      </c>
      <c r="G214" s="7">
        <v>45722</v>
      </c>
      <c r="H214">
        <v>56</v>
      </c>
      <c r="I214">
        <v>15.9</v>
      </c>
      <c r="J214" t="s">
        <v>24</v>
      </c>
      <c r="K214" t="s">
        <v>66</v>
      </c>
      <c r="L214" t="s">
        <v>26</v>
      </c>
      <c r="M214">
        <v>28</v>
      </c>
      <c r="N214" t="s">
        <v>27</v>
      </c>
      <c r="O214" t="str">
        <f t="shared" si="12"/>
        <v>2025-03</v>
      </c>
      <c r="P214" t="str">
        <f t="shared" si="13"/>
        <v>Medium</v>
      </c>
      <c r="Q214" t="str">
        <f t="shared" si="14"/>
        <v>Yes</v>
      </c>
      <c r="R214" s="10">
        <f t="shared" si="15"/>
        <v>0</v>
      </c>
    </row>
    <row r="215" spans="1:18">
      <c r="A215" t="s">
        <v>1003</v>
      </c>
      <c r="B215" t="s">
        <v>1004</v>
      </c>
      <c r="C215" t="s">
        <v>1005</v>
      </c>
      <c r="D215" t="s">
        <v>62</v>
      </c>
      <c r="E215" t="s">
        <v>22</v>
      </c>
      <c r="F215" t="s">
        <v>73</v>
      </c>
      <c r="G215" s="7">
        <v>45817</v>
      </c>
      <c r="H215">
        <v>93</v>
      </c>
      <c r="I215">
        <v>0</v>
      </c>
      <c r="J215" t="s">
        <v>36</v>
      </c>
      <c r="K215" t="s">
        <v>25</v>
      </c>
      <c r="L215" t="s">
        <v>37</v>
      </c>
      <c r="M215">
        <v>21</v>
      </c>
      <c r="N215" t="s">
        <v>27</v>
      </c>
      <c r="O215" t="str">
        <f t="shared" si="12"/>
        <v>2025-06</v>
      </c>
      <c r="P215" t="str">
        <f t="shared" si="13"/>
        <v>High</v>
      </c>
      <c r="Q215" t="str">
        <f t="shared" si="14"/>
        <v>No</v>
      </c>
      <c r="R215" s="10">
        <f t="shared" si="15"/>
        <v>0</v>
      </c>
    </row>
    <row r="216" spans="1:18">
      <c r="A216" t="s">
        <v>273</v>
      </c>
      <c r="B216" t="s">
        <v>274</v>
      </c>
      <c r="C216" t="s">
        <v>275</v>
      </c>
      <c r="D216" t="s">
        <v>41</v>
      </c>
      <c r="E216" t="s">
        <v>34</v>
      </c>
      <c r="F216" t="s">
        <v>23</v>
      </c>
      <c r="G216" s="7">
        <v>45688</v>
      </c>
      <c r="H216">
        <v>147</v>
      </c>
      <c r="I216">
        <v>0</v>
      </c>
      <c r="J216" t="s">
        <v>36</v>
      </c>
      <c r="K216" t="s">
        <v>25</v>
      </c>
      <c r="L216" t="s">
        <v>37</v>
      </c>
      <c r="M216">
        <v>48</v>
      </c>
      <c r="N216" t="s">
        <v>27</v>
      </c>
      <c r="O216" t="str">
        <f t="shared" si="12"/>
        <v>2025-01</v>
      </c>
      <c r="P216" t="str">
        <f t="shared" si="13"/>
        <v>High</v>
      </c>
      <c r="Q216" t="str">
        <f t="shared" si="14"/>
        <v>No</v>
      </c>
      <c r="R216" s="10">
        <f t="shared" si="15"/>
        <v>0</v>
      </c>
    </row>
    <row r="217" spans="1:18">
      <c r="A217" t="s">
        <v>1258</v>
      </c>
      <c r="B217" t="s">
        <v>1259</v>
      </c>
      <c r="C217" t="s">
        <v>1260</v>
      </c>
      <c r="D217" t="s">
        <v>21</v>
      </c>
      <c r="E217" t="s">
        <v>42</v>
      </c>
      <c r="F217" t="s">
        <v>73</v>
      </c>
      <c r="G217" s="7">
        <v>45688</v>
      </c>
      <c r="H217">
        <v>34</v>
      </c>
      <c r="I217">
        <v>0</v>
      </c>
      <c r="J217" t="s">
        <v>36</v>
      </c>
      <c r="K217" t="s">
        <v>25</v>
      </c>
      <c r="L217" t="s">
        <v>37</v>
      </c>
      <c r="M217">
        <v>50</v>
      </c>
      <c r="N217" t="s">
        <v>27</v>
      </c>
      <c r="O217" t="str">
        <f t="shared" si="12"/>
        <v>2025-01</v>
      </c>
      <c r="P217" t="str">
        <f t="shared" si="13"/>
        <v>Medium</v>
      </c>
      <c r="Q217" t="str">
        <f t="shared" si="14"/>
        <v>No</v>
      </c>
      <c r="R217" s="10">
        <f t="shared" si="15"/>
        <v>0</v>
      </c>
    </row>
    <row r="218" spans="1:18">
      <c r="A218" t="s">
        <v>1261</v>
      </c>
      <c r="B218" t="s">
        <v>1262</v>
      </c>
      <c r="C218" t="s">
        <v>1263</v>
      </c>
      <c r="D218" t="s">
        <v>62</v>
      </c>
      <c r="E218" t="s">
        <v>42</v>
      </c>
      <c r="F218" t="s">
        <v>43</v>
      </c>
      <c r="G218" s="7">
        <v>45764</v>
      </c>
      <c r="H218">
        <v>51</v>
      </c>
      <c r="I218">
        <v>0</v>
      </c>
      <c r="J218" t="s">
        <v>36</v>
      </c>
      <c r="K218" t="s">
        <v>45</v>
      </c>
      <c r="L218" t="s">
        <v>37</v>
      </c>
      <c r="M218">
        <v>2</v>
      </c>
      <c r="N218" t="s">
        <v>27</v>
      </c>
      <c r="O218" t="str">
        <f t="shared" si="12"/>
        <v>2025-04</v>
      </c>
      <c r="P218" t="str">
        <f t="shared" si="13"/>
        <v>Medium</v>
      </c>
      <c r="Q218" t="str">
        <f t="shared" si="14"/>
        <v>No</v>
      </c>
      <c r="R218" s="10">
        <f t="shared" si="15"/>
        <v>0</v>
      </c>
    </row>
    <row r="219" spans="1:18">
      <c r="A219" t="s">
        <v>1264</v>
      </c>
      <c r="B219" t="s">
        <v>1265</v>
      </c>
      <c r="C219" t="s">
        <v>1266</v>
      </c>
      <c r="D219" t="s">
        <v>41</v>
      </c>
      <c r="E219" t="s">
        <v>42</v>
      </c>
      <c r="F219" t="s">
        <v>58</v>
      </c>
      <c r="G219" s="7">
        <v>45811</v>
      </c>
      <c r="H219">
        <v>44</v>
      </c>
      <c r="I219">
        <v>0</v>
      </c>
      <c r="J219" t="s">
        <v>36</v>
      </c>
      <c r="K219" t="s">
        <v>53</v>
      </c>
      <c r="L219" t="s">
        <v>37</v>
      </c>
      <c r="M219">
        <v>27</v>
      </c>
      <c r="N219" t="s">
        <v>27</v>
      </c>
      <c r="O219" t="str">
        <f t="shared" si="12"/>
        <v>2025-06</v>
      </c>
      <c r="P219" t="str">
        <f t="shared" si="13"/>
        <v>Medium</v>
      </c>
      <c r="Q219" t="str">
        <f t="shared" si="14"/>
        <v>No</v>
      </c>
      <c r="R219" s="10">
        <f t="shared" si="15"/>
        <v>0</v>
      </c>
    </row>
    <row r="220" spans="1:18">
      <c r="A220" t="s">
        <v>114</v>
      </c>
      <c r="B220" t="s">
        <v>115</v>
      </c>
      <c r="C220" t="s">
        <v>116</v>
      </c>
      <c r="D220" t="s">
        <v>57</v>
      </c>
      <c r="E220" t="s">
        <v>22</v>
      </c>
      <c r="F220" t="s">
        <v>73</v>
      </c>
      <c r="G220" s="7">
        <v>45642</v>
      </c>
      <c r="H220">
        <v>114</v>
      </c>
      <c r="I220">
        <v>5.31</v>
      </c>
      <c r="J220" t="s">
        <v>24</v>
      </c>
      <c r="K220" t="s">
        <v>25</v>
      </c>
      <c r="L220" t="s">
        <v>26</v>
      </c>
      <c r="M220">
        <v>9</v>
      </c>
      <c r="N220" t="s">
        <v>27</v>
      </c>
      <c r="O220" t="str">
        <f t="shared" si="12"/>
        <v>2024-12</v>
      </c>
      <c r="P220" t="str">
        <f t="shared" si="13"/>
        <v>High</v>
      </c>
      <c r="Q220" t="str">
        <f t="shared" si="14"/>
        <v>Yes</v>
      </c>
      <c r="R220" s="10">
        <f t="shared" si="15"/>
        <v>0</v>
      </c>
    </row>
    <row r="221" spans="1:18">
      <c r="A221" t="s">
        <v>557</v>
      </c>
      <c r="B221" t="s">
        <v>558</v>
      </c>
      <c r="C221" t="s">
        <v>559</v>
      </c>
      <c r="D221" t="s">
        <v>49</v>
      </c>
      <c r="E221" t="s">
        <v>42</v>
      </c>
      <c r="F221" t="s">
        <v>23</v>
      </c>
      <c r="G221" s="7">
        <v>45720</v>
      </c>
      <c r="H221">
        <v>154</v>
      </c>
      <c r="I221">
        <v>0</v>
      </c>
      <c r="J221" t="s">
        <v>36</v>
      </c>
      <c r="K221" t="s">
        <v>25</v>
      </c>
      <c r="L221" t="s">
        <v>37</v>
      </c>
      <c r="M221">
        <v>26</v>
      </c>
      <c r="N221" t="s">
        <v>30</v>
      </c>
      <c r="O221" t="str">
        <f t="shared" si="12"/>
        <v>2025-03</v>
      </c>
      <c r="P221" t="str">
        <f t="shared" si="13"/>
        <v>High</v>
      </c>
      <c r="Q221" t="str">
        <f t="shared" si="14"/>
        <v>No</v>
      </c>
      <c r="R221" s="10">
        <f t="shared" si="15"/>
        <v>1</v>
      </c>
    </row>
    <row r="222" spans="1:18">
      <c r="A222" t="s">
        <v>694</v>
      </c>
      <c r="B222" t="s">
        <v>695</v>
      </c>
      <c r="C222" t="s">
        <v>696</v>
      </c>
      <c r="D222" t="s">
        <v>41</v>
      </c>
      <c r="E222" t="s">
        <v>34</v>
      </c>
      <c r="F222" t="s">
        <v>23</v>
      </c>
      <c r="G222" s="7">
        <v>45775</v>
      </c>
      <c r="H222">
        <v>105</v>
      </c>
      <c r="I222">
        <v>0</v>
      </c>
      <c r="J222" t="s">
        <v>36</v>
      </c>
      <c r="K222" t="s">
        <v>25</v>
      </c>
      <c r="L222" t="s">
        <v>37</v>
      </c>
      <c r="M222">
        <v>38</v>
      </c>
      <c r="N222" t="s">
        <v>27</v>
      </c>
      <c r="O222" t="str">
        <f t="shared" si="12"/>
        <v>2025-04</v>
      </c>
      <c r="P222" t="str">
        <f t="shared" si="13"/>
        <v>High</v>
      </c>
      <c r="Q222" t="str">
        <f t="shared" si="14"/>
        <v>No</v>
      </c>
      <c r="R222" s="10">
        <f t="shared" si="15"/>
        <v>0</v>
      </c>
    </row>
    <row r="223" spans="1:18">
      <c r="A223" t="s">
        <v>276</v>
      </c>
      <c r="B223" t="s">
        <v>277</v>
      </c>
      <c r="C223" t="s">
        <v>278</v>
      </c>
      <c r="D223" t="s">
        <v>62</v>
      </c>
      <c r="E223" t="s">
        <v>34</v>
      </c>
      <c r="F223" t="s">
        <v>35</v>
      </c>
      <c r="G223" s="7">
        <v>45683</v>
      </c>
      <c r="H223">
        <v>80</v>
      </c>
      <c r="I223">
        <v>0</v>
      </c>
      <c r="J223" t="s">
        <v>36</v>
      </c>
      <c r="K223" t="s">
        <v>66</v>
      </c>
      <c r="L223" t="s">
        <v>37</v>
      </c>
      <c r="M223">
        <v>39</v>
      </c>
      <c r="N223" t="s">
        <v>27</v>
      </c>
      <c r="O223" t="str">
        <f t="shared" si="12"/>
        <v>2025-01</v>
      </c>
      <c r="P223" t="str">
        <f t="shared" si="13"/>
        <v>High</v>
      </c>
      <c r="Q223" t="str">
        <f t="shared" si="14"/>
        <v>No</v>
      </c>
      <c r="R223" s="10">
        <f t="shared" si="15"/>
        <v>0</v>
      </c>
    </row>
    <row r="224" spans="1:18">
      <c r="A224" t="s">
        <v>697</v>
      </c>
      <c r="B224" t="s">
        <v>698</v>
      </c>
      <c r="C224" t="s">
        <v>699</v>
      </c>
      <c r="D224" t="s">
        <v>62</v>
      </c>
      <c r="E224" t="s">
        <v>34</v>
      </c>
      <c r="F224" t="s">
        <v>35</v>
      </c>
      <c r="G224" s="7">
        <v>45756</v>
      </c>
      <c r="H224">
        <v>92</v>
      </c>
      <c r="I224">
        <v>0</v>
      </c>
      <c r="J224" t="s">
        <v>36</v>
      </c>
      <c r="K224" t="s">
        <v>25</v>
      </c>
      <c r="L224" t="s">
        <v>37</v>
      </c>
      <c r="M224">
        <v>11</v>
      </c>
      <c r="N224" t="s">
        <v>27</v>
      </c>
      <c r="O224" t="str">
        <f t="shared" si="12"/>
        <v>2025-04</v>
      </c>
      <c r="P224" t="str">
        <f t="shared" si="13"/>
        <v>High</v>
      </c>
      <c r="Q224" t="str">
        <f t="shared" si="14"/>
        <v>No</v>
      </c>
      <c r="R224" s="10">
        <f t="shared" si="15"/>
        <v>0</v>
      </c>
    </row>
    <row r="225" spans="1:18">
      <c r="A225" t="s">
        <v>279</v>
      </c>
      <c r="B225" t="s">
        <v>280</v>
      </c>
      <c r="C225" t="s">
        <v>281</v>
      </c>
      <c r="D225" t="s">
        <v>41</v>
      </c>
      <c r="E225" t="s">
        <v>22</v>
      </c>
      <c r="F225" t="s">
        <v>23</v>
      </c>
      <c r="G225" s="7">
        <v>45683</v>
      </c>
      <c r="H225">
        <v>113</v>
      </c>
      <c r="I225">
        <v>0</v>
      </c>
      <c r="J225" t="s">
        <v>36</v>
      </c>
      <c r="K225" t="s">
        <v>25</v>
      </c>
      <c r="L225" t="s">
        <v>37</v>
      </c>
      <c r="M225">
        <v>46</v>
      </c>
      <c r="N225" t="s">
        <v>27</v>
      </c>
      <c r="O225" t="str">
        <f t="shared" si="12"/>
        <v>2025-01</v>
      </c>
      <c r="P225" t="str">
        <f t="shared" si="13"/>
        <v>High</v>
      </c>
      <c r="Q225" t="str">
        <f t="shared" si="14"/>
        <v>No</v>
      </c>
      <c r="R225" s="10">
        <f t="shared" si="15"/>
        <v>0</v>
      </c>
    </row>
    <row r="226" spans="1:18">
      <c r="A226" t="s">
        <v>282</v>
      </c>
      <c r="B226" t="s">
        <v>283</v>
      </c>
      <c r="C226" t="s">
        <v>284</v>
      </c>
      <c r="D226" t="s">
        <v>62</v>
      </c>
      <c r="E226" t="s">
        <v>22</v>
      </c>
      <c r="F226" t="s">
        <v>35</v>
      </c>
      <c r="G226" s="7">
        <v>45663</v>
      </c>
      <c r="H226">
        <v>117</v>
      </c>
      <c r="I226">
        <v>23.32</v>
      </c>
      <c r="J226" t="s">
        <v>24</v>
      </c>
      <c r="K226" t="s">
        <v>25</v>
      </c>
      <c r="L226" t="s">
        <v>26</v>
      </c>
      <c r="M226">
        <v>11</v>
      </c>
      <c r="N226" t="s">
        <v>27</v>
      </c>
      <c r="O226" t="str">
        <f t="shared" si="12"/>
        <v>2025-01</v>
      </c>
      <c r="P226" t="str">
        <f t="shared" si="13"/>
        <v>High</v>
      </c>
      <c r="Q226" t="str">
        <f t="shared" si="14"/>
        <v>Yes</v>
      </c>
      <c r="R226" s="10">
        <f t="shared" si="15"/>
        <v>0</v>
      </c>
    </row>
    <row r="227" spans="1:18">
      <c r="A227" t="s">
        <v>285</v>
      </c>
      <c r="B227" t="s">
        <v>286</v>
      </c>
      <c r="C227" t="s">
        <v>287</v>
      </c>
      <c r="D227" t="s">
        <v>57</v>
      </c>
      <c r="E227" t="s">
        <v>42</v>
      </c>
      <c r="F227" t="s">
        <v>73</v>
      </c>
      <c r="G227" s="7">
        <v>45688</v>
      </c>
      <c r="H227">
        <v>71</v>
      </c>
      <c r="I227">
        <v>0</v>
      </c>
      <c r="J227" t="s">
        <v>36</v>
      </c>
      <c r="K227" t="s">
        <v>25</v>
      </c>
      <c r="L227" t="s">
        <v>37</v>
      </c>
      <c r="M227">
        <v>37</v>
      </c>
      <c r="N227" t="s">
        <v>27</v>
      </c>
      <c r="O227" t="str">
        <f t="shared" si="12"/>
        <v>2025-01</v>
      </c>
      <c r="P227" t="str">
        <f t="shared" si="13"/>
        <v>High</v>
      </c>
      <c r="Q227" t="str">
        <f t="shared" si="14"/>
        <v>No</v>
      </c>
      <c r="R227" s="10">
        <f t="shared" si="15"/>
        <v>0</v>
      </c>
    </row>
    <row r="228" spans="1:18">
      <c r="A228" t="s">
        <v>288</v>
      </c>
      <c r="B228" t="s">
        <v>289</v>
      </c>
      <c r="C228" t="s">
        <v>290</v>
      </c>
      <c r="D228" t="s">
        <v>49</v>
      </c>
      <c r="E228" t="s">
        <v>22</v>
      </c>
      <c r="F228" t="s">
        <v>80</v>
      </c>
      <c r="G228" s="7">
        <v>45680</v>
      </c>
      <c r="H228">
        <v>132</v>
      </c>
      <c r="I228">
        <v>0</v>
      </c>
      <c r="J228" t="s">
        <v>36</v>
      </c>
      <c r="K228" t="s">
        <v>25</v>
      </c>
      <c r="L228" t="s">
        <v>26</v>
      </c>
      <c r="M228">
        <v>50</v>
      </c>
      <c r="N228" t="s">
        <v>27</v>
      </c>
      <c r="O228" t="str">
        <f t="shared" si="12"/>
        <v>2025-01</v>
      </c>
      <c r="P228" t="str">
        <f t="shared" si="13"/>
        <v>High</v>
      </c>
      <c r="Q228" t="str">
        <f t="shared" si="14"/>
        <v>No</v>
      </c>
      <c r="R228" s="10">
        <f t="shared" si="15"/>
        <v>0</v>
      </c>
    </row>
    <row r="229" spans="1:18">
      <c r="A229" t="s">
        <v>1267</v>
      </c>
      <c r="B229" t="s">
        <v>1268</v>
      </c>
      <c r="C229" t="s">
        <v>1269</v>
      </c>
      <c r="D229" t="s">
        <v>57</v>
      </c>
      <c r="E229" t="s">
        <v>22</v>
      </c>
      <c r="F229" t="s">
        <v>80</v>
      </c>
      <c r="G229" s="7">
        <v>45779</v>
      </c>
      <c r="H229">
        <v>30</v>
      </c>
      <c r="I229">
        <v>0</v>
      </c>
      <c r="J229" t="s">
        <v>36</v>
      </c>
      <c r="K229" t="s">
        <v>25</v>
      </c>
      <c r="L229" t="s">
        <v>37</v>
      </c>
      <c r="M229">
        <v>20</v>
      </c>
      <c r="N229" t="s">
        <v>27</v>
      </c>
      <c r="O229" t="str">
        <f t="shared" si="12"/>
        <v>2025-05</v>
      </c>
      <c r="P229" t="str">
        <f t="shared" si="13"/>
        <v>Medium</v>
      </c>
      <c r="Q229" t="str">
        <f t="shared" si="14"/>
        <v>No</v>
      </c>
      <c r="R229" s="10">
        <f t="shared" si="15"/>
        <v>0</v>
      </c>
    </row>
    <row r="230" spans="1:18">
      <c r="A230" t="s">
        <v>1270</v>
      </c>
      <c r="B230" t="s">
        <v>1271</v>
      </c>
      <c r="C230" t="s">
        <v>1272</v>
      </c>
      <c r="D230" t="s">
        <v>49</v>
      </c>
      <c r="E230" t="s">
        <v>42</v>
      </c>
      <c r="F230" t="s">
        <v>23</v>
      </c>
      <c r="G230" s="7">
        <v>45804</v>
      </c>
      <c r="H230">
        <v>48</v>
      </c>
      <c r="I230">
        <v>0</v>
      </c>
      <c r="J230" t="s">
        <v>36</v>
      </c>
      <c r="K230" t="s">
        <v>66</v>
      </c>
      <c r="L230" t="s">
        <v>37</v>
      </c>
      <c r="M230">
        <v>36</v>
      </c>
      <c r="N230" t="s">
        <v>27</v>
      </c>
      <c r="O230" t="str">
        <f t="shared" si="12"/>
        <v>2025-05</v>
      </c>
      <c r="P230" t="str">
        <f t="shared" si="13"/>
        <v>Medium</v>
      </c>
      <c r="Q230" t="str">
        <f t="shared" si="14"/>
        <v>No</v>
      </c>
      <c r="R230" s="10">
        <f t="shared" si="15"/>
        <v>0</v>
      </c>
    </row>
    <row r="231" spans="1:18">
      <c r="A231" t="s">
        <v>910</v>
      </c>
      <c r="B231" t="s">
        <v>911</v>
      </c>
      <c r="C231" t="s">
        <v>912</v>
      </c>
      <c r="D231" t="s">
        <v>62</v>
      </c>
      <c r="E231" t="s">
        <v>34</v>
      </c>
      <c r="F231" t="s">
        <v>23</v>
      </c>
      <c r="G231" s="7">
        <v>45795</v>
      </c>
      <c r="H231">
        <v>98</v>
      </c>
      <c r="I231">
        <v>27.66</v>
      </c>
      <c r="J231" t="s">
        <v>24</v>
      </c>
      <c r="K231" t="s">
        <v>25</v>
      </c>
      <c r="L231" t="s">
        <v>26</v>
      </c>
      <c r="M231">
        <v>27</v>
      </c>
      <c r="N231" t="s">
        <v>27</v>
      </c>
      <c r="O231" t="str">
        <f t="shared" si="12"/>
        <v>2025-05</v>
      </c>
      <c r="P231" t="str">
        <f t="shared" si="13"/>
        <v>High</v>
      </c>
      <c r="Q231" t="str">
        <f t="shared" si="14"/>
        <v>Yes</v>
      </c>
      <c r="R231" s="10">
        <f t="shared" si="15"/>
        <v>0</v>
      </c>
    </row>
    <row r="232" spans="1:18">
      <c r="A232" t="s">
        <v>1273</v>
      </c>
      <c r="B232" t="s">
        <v>1274</v>
      </c>
      <c r="C232" t="s">
        <v>1275</v>
      </c>
      <c r="D232" t="s">
        <v>21</v>
      </c>
      <c r="E232" t="s">
        <v>22</v>
      </c>
      <c r="F232" t="s">
        <v>58</v>
      </c>
      <c r="G232" s="7">
        <v>45693</v>
      </c>
      <c r="H232">
        <v>23</v>
      </c>
      <c r="I232">
        <v>24.09</v>
      </c>
      <c r="J232" t="s">
        <v>129</v>
      </c>
      <c r="K232" t="s">
        <v>53</v>
      </c>
      <c r="L232" t="s">
        <v>26</v>
      </c>
      <c r="M232">
        <v>23</v>
      </c>
      <c r="N232" t="s">
        <v>27</v>
      </c>
      <c r="O232" t="str">
        <f t="shared" si="12"/>
        <v>2025-02</v>
      </c>
      <c r="P232" t="str">
        <f t="shared" si="13"/>
        <v>Medium</v>
      </c>
      <c r="Q232" t="str">
        <f t="shared" si="14"/>
        <v>Yes</v>
      </c>
      <c r="R232" s="10">
        <f t="shared" si="15"/>
        <v>0</v>
      </c>
    </row>
    <row r="233" spans="1:18">
      <c r="A233" t="s">
        <v>913</v>
      </c>
      <c r="B233" t="s">
        <v>914</v>
      </c>
      <c r="C233" t="s">
        <v>915</v>
      </c>
      <c r="D233" t="s">
        <v>21</v>
      </c>
      <c r="E233" t="s">
        <v>42</v>
      </c>
      <c r="F233" t="s">
        <v>73</v>
      </c>
      <c r="G233" s="7">
        <v>45786</v>
      </c>
      <c r="H233">
        <v>146</v>
      </c>
      <c r="I233">
        <v>43.02</v>
      </c>
      <c r="J233" t="s">
        <v>129</v>
      </c>
      <c r="K233" t="s">
        <v>25</v>
      </c>
      <c r="L233" t="s">
        <v>26</v>
      </c>
      <c r="M233">
        <v>24</v>
      </c>
      <c r="N233" t="s">
        <v>30</v>
      </c>
      <c r="O233" t="str">
        <f t="shared" si="12"/>
        <v>2025-05</v>
      </c>
      <c r="P233" t="str">
        <f t="shared" si="13"/>
        <v>High</v>
      </c>
      <c r="Q233" t="str">
        <f t="shared" si="14"/>
        <v>Yes</v>
      </c>
      <c r="R233" s="10">
        <f t="shared" si="15"/>
        <v>1</v>
      </c>
    </row>
    <row r="234" spans="1:18">
      <c r="A234" t="s">
        <v>1276</v>
      </c>
      <c r="B234" t="s">
        <v>1277</v>
      </c>
      <c r="C234" t="s">
        <v>1278</v>
      </c>
      <c r="D234" t="s">
        <v>62</v>
      </c>
      <c r="E234" t="s">
        <v>34</v>
      </c>
      <c r="F234" t="s">
        <v>43</v>
      </c>
      <c r="G234" s="7">
        <v>45757</v>
      </c>
      <c r="H234">
        <v>55</v>
      </c>
      <c r="I234">
        <v>0</v>
      </c>
      <c r="J234" t="s">
        <v>36</v>
      </c>
      <c r="K234" t="s">
        <v>25</v>
      </c>
      <c r="L234" t="s">
        <v>37</v>
      </c>
      <c r="M234">
        <v>20</v>
      </c>
      <c r="N234" t="s">
        <v>27</v>
      </c>
      <c r="O234" t="str">
        <f t="shared" si="12"/>
        <v>2025-04</v>
      </c>
      <c r="P234" t="str">
        <f t="shared" si="13"/>
        <v>Medium</v>
      </c>
      <c r="Q234" t="str">
        <f t="shared" si="14"/>
        <v>No</v>
      </c>
      <c r="R234" s="10">
        <f t="shared" si="15"/>
        <v>0</v>
      </c>
    </row>
    <row r="235" spans="1:18">
      <c r="A235" t="s">
        <v>120</v>
      </c>
      <c r="B235" t="s">
        <v>121</v>
      </c>
      <c r="C235" t="s">
        <v>122</v>
      </c>
      <c r="D235" t="s">
        <v>21</v>
      </c>
      <c r="E235" t="s">
        <v>22</v>
      </c>
      <c r="F235" t="s">
        <v>58</v>
      </c>
      <c r="G235" s="7">
        <v>45652</v>
      </c>
      <c r="H235">
        <v>154</v>
      </c>
      <c r="I235">
        <v>0</v>
      </c>
      <c r="J235" t="s">
        <v>36</v>
      </c>
      <c r="K235" t="s">
        <v>25</v>
      </c>
      <c r="L235" t="s">
        <v>37</v>
      </c>
      <c r="M235">
        <v>22</v>
      </c>
      <c r="N235" t="s">
        <v>30</v>
      </c>
      <c r="O235" t="str">
        <f t="shared" si="12"/>
        <v>2024-12</v>
      </c>
      <c r="P235" t="str">
        <f t="shared" si="13"/>
        <v>High</v>
      </c>
      <c r="Q235" t="str">
        <f t="shared" si="14"/>
        <v>No</v>
      </c>
      <c r="R235" s="10">
        <f t="shared" si="15"/>
        <v>1</v>
      </c>
    </row>
    <row r="236" spans="1:18">
      <c r="A236" t="s">
        <v>703</v>
      </c>
      <c r="B236" t="s">
        <v>704</v>
      </c>
      <c r="C236" t="s">
        <v>705</v>
      </c>
      <c r="D236" t="s">
        <v>57</v>
      </c>
      <c r="E236" t="s">
        <v>34</v>
      </c>
      <c r="F236" t="s">
        <v>73</v>
      </c>
      <c r="G236" s="7">
        <v>45764</v>
      </c>
      <c r="H236">
        <v>163</v>
      </c>
      <c r="I236">
        <v>0</v>
      </c>
      <c r="J236" t="s">
        <v>36</v>
      </c>
      <c r="K236" t="s">
        <v>25</v>
      </c>
      <c r="L236" t="s">
        <v>37</v>
      </c>
      <c r="M236">
        <v>46</v>
      </c>
      <c r="N236" t="s">
        <v>30</v>
      </c>
      <c r="O236" t="str">
        <f t="shared" si="12"/>
        <v>2025-04</v>
      </c>
      <c r="P236" t="str">
        <f t="shared" si="13"/>
        <v>High</v>
      </c>
      <c r="Q236" t="str">
        <f t="shared" si="14"/>
        <v>No</v>
      </c>
      <c r="R236" s="10">
        <f t="shared" si="15"/>
        <v>1</v>
      </c>
    </row>
    <row r="237" spans="1:18">
      <c r="A237" t="s">
        <v>1279</v>
      </c>
      <c r="B237" t="s">
        <v>1280</v>
      </c>
      <c r="C237" t="s">
        <v>1281</v>
      </c>
      <c r="D237" t="s">
        <v>62</v>
      </c>
      <c r="E237" t="s">
        <v>34</v>
      </c>
      <c r="F237" t="s">
        <v>43</v>
      </c>
      <c r="G237" s="7">
        <v>45759</v>
      </c>
      <c r="H237">
        <v>59</v>
      </c>
      <c r="I237">
        <v>0</v>
      </c>
      <c r="J237" t="s">
        <v>36</v>
      </c>
      <c r="K237" t="s">
        <v>45</v>
      </c>
      <c r="L237" t="s">
        <v>37</v>
      </c>
      <c r="M237">
        <v>5</v>
      </c>
      <c r="N237" t="s">
        <v>27</v>
      </c>
      <c r="O237" t="str">
        <f t="shared" si="12"/>
        <v>2025-04</v>
      </c>
      <c r="P237" t="str">
        <f t="shared" si="13"/>
        <v>Medium</v>
      </c>
      <c r="Q237" t="str">
        <f t="shared" si="14"/>
        <v>No</v>
      </c>
      <c r="R237" s="10">
        <f t="shared" si="15"/>
        <v>0</v>
      </c>
    </row>
    <row r="238" spans="1:18">
      <c r="A238" t="s">
        <v>1282</v>
      </c>
      <c r="B238" t="s">
        <v>1283</v>
      </c>
      <c r="C238" t="s">
        <v>1284</v>
      </c>
      <c r="D238" t="s">
        <v>62</v>
      </c>
      <c r="E238" t="s">
        <v>34</v>
      </c>
      <c r="F238" t="s">
        <v>43</v>
      </c>
      <c r="G238" s="7">
        <v>45703</v>
      </c>
      <c r="H238">
        <v>26</v>
      </c>
      <c r="I238">
        <v>11.67</v>
      </c>
      <c r="J238" t="s">
        <v>24</v>
      </c>
      <c r="K238" t="s">
        <v>25</v>
      </c>
      <c r="L238" t="s">
        <v>26</v>
      </c>
      <c r="M238">
        <v>49</v>
      </c>
      <c r="N238" t="s">
        <v>27</v>
      </c>
      <c r="O238" t="str">
        <f t="shared" si="12"/>
        <v>2025-02</v>
      </c>
      <c r="P238" t="str">
        <f t="shared" si="13"/>
        <v>Medium</v>
      </c>
      <c r="Q238" t="str">
        <f t="shared" si="14"/>
        <v>Yes</v>
      </c>
      <c r="R238" s="10">
        <f t="shared" si="15"/>
        <v>0</v>
      </c>
    </row>
    <row r="239" spans="1:18">
      <c r="A239" t="s">
        <v>442</v>
      </c>
      <c r="B239" t="s">
        <v>443</v>
      </c>
      <c r="C239" t="s">
        <v>444</v>
      </c>
      <c r="D239" t="s">
        <v>41</v>
      </c>
      <c r="E239" t="s">
        <v>22</v>
      </c>
      <c r="F239" t="s">
        <v>58</v>
      </c>
      <c r="G239" s="7">
        <v>45715</v>
      </c>
      <c r="H239">
        <v>117</v>
      </c>
      <c r="I239">
        <v>0</v>
      </c>
      <c r="J239" t="s">
        <v>36</v>
      </c>
      <c r="K239" t="s">
        <v>66</v>
      </c>
      <c r="L239" t="s">
        <v>37</v>
      </c>
      <c r="M239">
        <v>21</v>
      </c>
      <c r="N239" t="s">
        <v>27</v>
      </c>
      <c r="O239" t="str">
        <f t="shared" si="12"/>
        <v>2025-02</v>
      </c>
      <c r="P239" t="str">
        <f t="shared" si="13"/>
        <v>High</v>
      </c>
      <c r="Q239" t="str">
        <f t="shared" si="14"/>
        <v>No</v>
      </c>
      <c r="R239" s="10">
        <f t="shared" si="15"/>
        <v>0</v>
      </c>
    </row>
    <row r="240" spans="1:18">
      <c r="A240" t="s">
        <v>291</v>
      </c>
      <c r="B240" t="s">
        <v>292</v>
      </c>
      <c r="C240" t="s">
        <v>293</v>
      </c>
      <c r="D240" t="s">
        <v>62</v>
      </c>
      <c r="E240" t="s">
        <v>22</v>
      </c>
      <c r="F240" t="s">
        <v>80</v>
      </c>
      <c r="G240" s="7">
        <v>45684</v>
      </c>
      <c r="H240">
        <v>112</v>
      </c>
      <c r="I240">
        <v>2.2599999999999998</v>
      </c>
      <c r="J240" t="s">
        <v>173</v>
      </c>
      <c r="K240" t="s">
        <v>25</v>
      </c>
      <c r="L240" t="s">
        <v>26</v>
      </c>
      <c r="M240">
        <v>22</v>
      </c>
      <c r="N240" t="s">
        <v>27</v>
      </c>
      <c r="O240" t="str">
        <f t="shared" si="12"/>
        <v>2025-01</v>
      </c>
      <c r="P240" t="str">
        <f t="shared" si="13"/>
        <v>High</v>
      </c>
      <c r="Q240" t="str">
        <f t="shared" si="14"/>
        <v>Yes</v>
      </c>
      <c r="R240" s="10">
        <f t="shared" si="15"/>
        <v>0</v>
      </c>
    </row>
    <row r="241" spans="1:18">
      <c r="A241" t="s">
        <v>709</v>
      </c>
      <c r="B241" t="s">
        <v>710</v>
      </c>
      <c r="C241" t="s">
        <v>711</v>
      </c>
      <c r="D241" t="s">
        <v>62</v>
      </c>
      <c r="E241" t="s">
        <v>42</v>
      </c>
      <c r="F241" t="s">
        <v>35</v>
      </c>
      <c r="G241" s="7">
        <v>45749</v>
      </c>
      <c r="H241">
        <v>116</v>
      </c>
      <c r="I241">
        <v>0</v>
      </c>
      <c r="J241" t="s">
        <v>36</v>
      </c>
      <c r="K241" t="s">
        <v>53</v>
      </c>
      <c r="L241" t="s">
        <v>26</v>
      </c>
      <c r="M241">
        <v>11</v>
      </c>
      <c r="N241" t="s">
        <v>27</v>
      </c>
      <c r="O241" t="str">
        <f t="shared" si="12"/>
        <v>2025-04</v>
      </c>
      <c r="P241" t="str">
        <f t="shared" si="13"/>
        <v>High</v>
      </c>
      <c r="Q241" t="str">
        <f t="shared" si="14"/>
        <v>No</v>
      </c>
      <c r="R241" s="10">
        <f t="shared" si="15"/>
        <v>0</v>
      </c>
    </row>
    <row r="242" spans="1:18">
      <c r="A242" t="s">
        <v>1285</v>
      </c>
      <c r="B242" t="s">
        <v>1286</v>
      </c>
      <c r="C242" t="s">
        <v>1287</v>
      </c>
      <c r="D242" t="s">
        <v>41</v>
      </c>
      <c r="E242" t="s">
        <v>42</v>
      </c>
      <c r="F242" t="s">
        <v>80</v>
      </c>
      <c r="G242" s="7">
        <v>45764</v>
      </c>
      <c r="H242">
        <v>8</v>
      </c>
      <c r="I242">
        <v>36.39</v>
      </c>
      <c r="J242" t="s">
        <v>24</v>
      </c>
      <c r="K242" t="s">
        <v>25</v>
      </c>
      <c r="L242" t="s">
        <v>26</v>
      </c>
      <c r="M242">
        <v>22</v>
      </c>
      <c r="N242" t="s">
        <v>27</v>
      </c>
      <c r="O242" t="str">
        <f t="shared" si="12"/>
        <v>2025-04</v>
      </c>
      <c r="P242" t="str">
        <f t="shared" si="13"/>
        <v>Low</v>
      </c>
      <c r="Q242" t="str">
        <f t="shared" si="14"/>
        <v>Yes</v>
      </c>
      <c r="R242" s="10">
        <f t="shared" si="15"/>
        <v>0</v>
      </c>
    </row>
    <row r="243" spans="1:18">
      <c r="A243" t="s">
        <v>294</v>
      </c>
      <c r="B243" t="s">
        <v>295</v>
      </c>
      <c r="C243" t="s">
        <v>296</v>
      </c>
      <c r="D243" t="s">
        <v>21</v>
      </c>
      <c r="E243" t="s">
        <v>42</v>
      </c>
      <c r="F243" t="s">
        <v>43</v>
      </c>
      <c r="G243" s="7">
        <v>45660</v>
      </c>
      <c r="H243">
        <v>115</v>
      </c>
      <c r="I243">
        <v>0</v>
      </c>
      <c r="J243" t="s">
        <v>36</v>
      </c>
      <c r="K243" t="s">
        <v>25</v>
      </c>
      <c r="L243" t="s">
        <v>37</v>
      </c>
      <c r="M243">
        <v>18</v>
      </c>
      <c r="N243" t="s">
        <v>27</v>
      </c>
      <c r="O243" t="str">
        <f t="shared" si="12"/>
        <v>2025-01</v>
      </c>
      <c r="P243" t="str">
        <f t="shared" si="13"/>
        <v>High</v>
      </c>
      <c r="Q243" t="str">
        <f t="shared" si="14"/>
        <v>No</v>
      </c>
      <c r="R243" s="10">
        <f t="shared" si="15"/>
        <v>0</v>
      </c>
    </row>
    <row r="244" spans="1:18">
      <c r="A244" t="s">
        <v>916</v>
      </c>
      <c r="B244" t="s">
        <v>917</v>
      </c>
      <c r="C244" t="s">
        <v>918</v>
      </c>
      <c r="D244" t="s">
        <v>57</v>
      </c>
      <c r="E244" t="s">
        <v>22</v>
      </c>
      <c r="F244" t="s">
        <v>58</v>
      </c>
      <c r="G244" s="7">
        <v>45803</v>
      </c>
      <c r="H244">
        <v>144</v>
      </c>
      <c r="I244">
        <v>0</v>
      </c>
      <c r="J244" t="s">
        <v>36</v>
      </c>
      <c r="K244" t="s">
        <v>66</v>
      </c>
      <c r="L244" t="s">
        <v>37</v>
      </c>
      <c r="M244">
        <v>18</v>
      </c>
      <c r="N244" t="s">
        <v>27</v>
      </c>
      <c r="O244" t="str">
        <f t="shared" si="12"/>
        <v>2025-05</v>
      </c>
      <c r="P244" t="str">
        <f t="shared" si="13"/>
        <v>High</v>
      </c>
      <c r="Q244" t="str">
        <f t="shared" si="14"/>
        <v>No</v>
      </c>
      <c r="R244" s="10">
        <f t="shared" si="15"/>
        <v>0</v>
      </c>
    </row>
    <row r="245" spans="1:18">
      <c r="A245" t="s">
        <v>712</v>
      </c>
      <c r="B245" t="s">
        <v>713</v>
      </c>
      <c r="C245" t="s">
        <v>714</v>
      </c>
      <c r="D245" t="s">
        <v>49</v>
      </c>
      <c r="E245" t="s">
        <v>42</v>
      </c>
      <c r="F245" t="s">
        <v>43</v>
      </c>
      <c r="G245" s="7">
        <v>45749</v>
      </c>
      <c r="H245">
        <v>175</v>
      </c>
      <c r="I245">
        <v>7.47</v>
      </c>
      <c r="J245" t="s">
        <v>129</v>
      </c>
      <c r="K245" t="s">
        <v>25</v>
      </c>
      <c r="L245" t="s">
        <v>26</v>
      </c>
      <c r="M245">
        <v>17</v>
      </c>
      <c r="N245" t="s">
        <v>30</v>
      </c>
      <c r="O245" t="str">
        <f t="shared" si="12"/>
        <v>2025-04</v>
      </c>
      <c r="P245" t="str">
        <f t="shared" si="13"/>
        <v>High</v>
      </c>
      <c r="Q245" t="str">
        <f t="shared" si="14"/>
        <v>Yes</v>
      </c>
      <c r="R245" s="10">
        <f t="shared" si="15"/>
        <v>1</v>
      </c>
    </row>
    <row r="246" spans="1:18">
      <c r="A246" t="s">
        <v>297</v>
      </c>
      <c r="B246" t="s">
        <v>298</v>
      </c>
      <c r="C246" t="s">
        <v>299</v>
      </c>
      <c r="D246" t="s">
        <v>62</v>
      </c>
      <c r="E246" t="s">
        <v>22</v>
      </c>
      <c r="F246" t="s">
        <v>23</v>
      </c>
      <c r="G246" s="7">
        <v>45675</v>
      </c>
      <c r="H246">
        <v>142</v>
      </c>
      <c r="I246">
        <v>0</v>
      </c>
      <c r="J246" t="s">
        <v>36</v>
      </c>
      <c r="K246" t="s">
        <v>25</v>
      </c>
      <c r="L246" t="s">
        <v>37</v>
      </c>
      <c r="M246">
        <v>11</v>
      </c>
      <c r="N246" t="s">
        <v>27</v>
      </c>
      <c r="O246" t="str">
        <f t="shared" si="12"/>
        <v>2025-01</v>
      </c>
      <c r="P246" t="str">
        <f t="shared" si="13"/>
        <v>High</v>
      </c>
      <c r="Q246" t="str">
        <f t="shared" si="14"/>
        <v>No</v>
      </c>
      <c r="R246" s="10">
        <f t="shared" si="15"/>
        <v>0</v>
      </c>
    </row>
    <row r="247" spans="1:18">
      <c r="A247" t="s">
        <v>300</v>
      </c>
      <c r="B247" t="s">
        <v>301</v>
      </c>
      <c r="C247" t="s">
        <v>302</v>
      </c>
      <c r="D247" t="s">
        <v>57</v>
      </c>
      <c r="E247" t="s">
        <v>42</v>
      </c>
      <c r="F247" t="s">
        <v>23</v>
      </c>
      <c r="G247" s="7">
        <v>45675</v>
      </c>
      <c r="H247">
        <v>154</v>
      </c>
      <c r="I247">
        <v>0</v>
      </c>
      <c r="J247" t="s">
        <v>36</v>
      </c>
      <c r="K247" t="s">
        <v>25</v>
      </c>
      <c r="L247" t="s">
        <v>37</v>
      </c>
      <c r="M247">
        <v>8</v>
      </c>
      <c r="N247" t="s">
        <v>30</v>
      </c>
      <c r="O247" t="str">
        <f t="shared" si="12"/>
        <v>2025-01</v>
      </c>
      <c r="P247" t="str">
        <f t="shared" si="13"/>
        <v>High</v>
      </c>
      <c r="Q247" t="str">
        <f t="shared" si="14"/>
        <v>No</v>
      </c>
      <c r="R247" s="10">
        <f t="shared" si="15"/>
        <v>1</v>
      </c>
    </row>
    <row r="248" spans="1:18">
      <c r="A248" t="s">
        <v>1288</v>
      </c>
      <c r="B248" t="s">
        <v>1289</v>
      </c>
      <c r="C248" t="s">
        <v>1290</v>
      </c>
      <c r="D248" t="s">
        <v>62</v>
      </c>
      <c r="E248" t="s">
        <v>22</v>
      </c>
      <c r="F248" t="s">
        <v>73</v>
      </c>
      <c r="G248" s="7">
        <v>45680</v>
      </c>
      <c r="H248">
        <v>33</v>
      </c>
      <c r="I248">
        <v>0</v>
      </c>
      <c r="J248" t="s">
        <v>36</v>
      </c>
      <c r="K248" t="s">
        <v>25</v>
      </c>
      <c r="L248" t="s">
        <v>37</v>
      </c>
      <c r="M248">
        <v>9</v>
      </c>
      <c r="N248" t="s">
        <v>27</v>
      </c>
      <c r="O248" t="str">
        <f t="shared" si="12"/>
        <v>2025-01</v>
      </c>
      <c r="P248" t="str">
        <f t="shared" si="13"/>
        <v>Medium</v>
      </c>
      <c r="Q248" t="str">
        <f t="shared" si="14"/>
        <v>No</v>
      </c>
      <c r="R248" s="10">
        <f t="shared" si="15"/>
        <v>0</v>
      </c>
    </row>
    <row r="249" spans="1:18">
      <c r="A249" t="s">
        <v>718</v>
      </c>
      <c r="B249" t="s">
        <v>719</v>
      </c>
      <c r="C249" t="s">
        <v>720</v>
      </c>
      <c r="D249" t="s">
        <v>62</v>
      </c>
      <c r="E249" t="s">
        <v>22</v>
      </c>
      <c r="F249" t="s">
        <v>73</v>
      </c>
      <c r="G249" s="7">
        <v>45772</v>
      </c>
      <c r="H249">
        <v>91</v>
      </c>
      <c r="I249">
        <v>0</v>
      </c>
      <c r="J249" t="s">
        <v>36</v>
      </c>
      <c r="K249" t="s">
        <v>66</v>
      </c>
      <c r="L249" t="s">
        <v>37</v>
      </c>
      <c r="M249">
        <v>44</v>
      </c>
      <c r="N249" t="s">
        <v>27</v>
      </c>
      <c r="O249" t="str">
        <f t="shared" si="12"/>
        <v>2025-04</v>
      </c>
      <c r="P249" t="str">
        <f t="shared" si="13"/>
        <v>High</v>
      </c>
      <c r="Q249" t="str">
        <f t="shared" si="14"/>
        <v>No</v>
      </c>
      <c r="R249" s="10">
        <f t="shared" si="15"/>
        <v>0</v>
      </c>
    </row>
    <row r="250" spans="1:18">
      <c r="A250" t="s">
        <v>1291</v>
      </c>
      <c r="B250" t="s">
        <v>1292</v>
      </c>
      <c r="C250" t="s">
        <v>1293</v>
      </c>
      <c r="D250" t="s">
        <v>41</v>
      </c>
      <c r="E250" t="s">
        <v>34</v>
      </c>
      <c r="F250" t="s">
        <v>73</v>
      </c>
      <c r="G250" s="7">
        <v>45684</v>
      </c>
      <c r="H250">
        <v>36</v>
      </c>
      <c r="I250">
        <v>0</v>
      </c>
      <c r="J250" t="s">
        <v>36</v>
      </c>
      <c r="K250" t="s">
        <v>25</v>
      </c>
      <c r="L250" t="s">
        <v>37</v>
      </c>
      <c r="M250">
        <v>36</v>
      </c>
      <c r="N250" t="s">
        <v>27</v>
      </c>
      <c r="O250" t="str">
        <f t="shared" si="12"/>
        <v>2025-01</v>
      </c>
      <c r="P250" t="str">
        <f t="shared" si="13"/>
        <v>Medium</v>
      </c>
      <c r="Q250" t="str">
        <f t="shared" si="14"/>
        <v>No</v>
      </c>
      <c r="R250" s="10">
        <f t="shared" si="15"/>
        <v>0</v>
      </c>
    </row>
    <row r="251" spans="1:18">
      <c r="A251" t="s">
        <v>448</v>
      </c>
      <c r="B251" t="s">
        <v>449</v>
      </c>
      <c r="C251" t="s">
        <v>450</v>
      </c>
      <c r="D251" t="s">
        <v>57</v>
      </c>
      <c r="E251" t="s">
        <v>22</v>
      </c>
      <c r="F251" t="s">
        <v>43</v>
      </c>
      <c r="G251" s="7">
        <v>45703</v>
      </c>
      <c r="H251">
        <v>66</v>
      </c>
      <c r="I251">
        <v>0</v>
      </c>
      <c r="J251" t="s">
        <v>36</v>
      </c>
      <c r="K251" t="s">
        <v>53</v>
      </c>
      <c r="L251" t="s">
        <v>26</v>
      </c>
      <c r="M251">
        <v>38</v>
      </c>
      <c r="N251" t="s">
        <v>27</v>
      </c>
      <c r="O251" t="str">
        <f t="shared" si="12"/>
        <v>2025-02</v>
      </c>
      <c r="P251" t="str">
        <f t="shared" si="13"/>
        <v>High</v>
      </c>
      <c r="Q251" t="str">
        <f t="shared" si="14"/>
        <v>No</v>
      </c>
      <c r="R251" s="10">
        <f t="shared" si="15"/>
        <v>0</v>
      </c>
    </row>
    <row r="252" spans="1:18">
      <c r="A252" t="s">
        <v>1294</v>
      </c>
      <c r="B252" t="s">
        <v>1295</v>
      </c>
      <c r="C252" t="s">
        <v>1296</v>
      </c>
      <c r="D252" t="s">
        <v>57</v>
      </c>
      <c r="E252" t="s">
        <v>42</v>
      </c>
      <c r="F252" t="s">
        <v>43</v>
      </c>
      <c r="G252" s="7">
        <v>45691</v>
      </c>
      <c r="H252">
        <v>38</v>
      </c>
      <c r="I252">
        <v>30.6</v>
      </c>
      <c r="J252" t="s">
        <v>173</v>
      </c>
      <c r="K252" t="s">
        <v>25</v>
      </c>
      <c r="L252" t="s">
        <v>26</v>
      </c>
      <c r="M252">
        <v>27</v>
      </c>
      <c r="N252" t="s">
        <v>27</v>
      </c>
      <c r="O252" t="str">
        <f t="shared" si="12"/>
        <v>2025-02</v>
      </c>
      <c r="P252" t="str">
        <f t="shared" si="13"/>
        <v>Medium</v>
      </c>
      <c r="Q252" t="str">
        <f t="shared" si="14"/>
        <v>Yes</v>
      </c>
      <c r="R252" s="10">
        <f t="shared" si="15"/>
        <v>0</v>
      </c>
    </row>
    <row r="253" spans="1:18">
      <c r="A253" t="s">
        <v>123</v>
      </c>
      <c r="B253" t="s">
        <v>124</v>
      </c>
      <c r="C253" t="s">
        <v>125</v>
      </c>
      <c r="D253" t="s">
        <v>49</v>
      </c>
      <c r="E253" t="s">
        <v>42</v>
      </c>
      <c r="F253" t="s">
        <v>58</v>
      </c>
      <c r="G253" s="7">
        <v>45639</v>
      </c>
      <c r="H253">
        <v>177</v>
      </c>
      <c r="I253">
        <v>0</v>
      </c>
      <c r="J253" t="s">
        <v>36</v>
      </c>
      <c r="K253" t="s">
        <v>25</v>
      </c>
      <c r="L253" t="s">
        <v>37</v>
      </c>
      <c r="M253">
        <v>25</v>
      </c>
      <c r="N253" t="s">
        <v>30</v>
      </c>
      <c r="O253" t="str">
        <f t="shared" si="12"/>
        <v>2024-12</v>
      </c>
      <c r="P253" t="str">
        <f t="shared" si="13"/>
        <v>High</v>
      </c>
      <c r="Q253" t="str">
        <f t="shared" si="14"/>
        <v>No</v>
      </c>
      <c r="R253" s="10">
        <f t="shared" si="15"/>
        <v>1</v>
      </c>
    </row>
    <row r="254" spans="1:18">
      <c r="A254" t="s">
        <v>126</v>
      </c>
      <c r="B254" t="s">
        <v>127</v>
      </c>
      <c r="C254" t="s">
        <v>128</v>
      </c>
      <c r="D254" t="s">
        <v>49</v>
      </c>
      <c r="E254" t="s">
        <v>22</v>
      </c>
      <c r="F254" t="s">
        <v>73</v>
      </c>
      <c r="G254" s="7">
        <v>45639</v>
      </c>
      <c r="H254">
        <v>133</v>
      </c>
      <c r="I254">
        <v>8.0500000000000007</v>
      </c>
      <c r="J254" t="s">
        <v>129</v>
      </c>
      <c r="K254" t="s">
        <v>25</v>
      </c>
      <c r="L254" t="s">
        <v>26</v>
      </c>
      <c r="M254">
        <v>35</v>
      </c>
      <c r="N254" t="s">
        <v>27</v>
      </c>
      <c r="O254" t="str">
        <f t="shared" si="12"/>
        <v>2024-12</v>
      </c>
      <c r="P254" t="str">
        <f t="shared" si="13"/>
        <v>High</v>
      </c>
      <c r="Q254" t="str">
        <f t="shared" si="14"/>
        <v>Yes</v>
      </c>
      <c r="R254" s="10">
        <f t="shared" si="15"/>
        <v>0</v>
      </c>
    </row>
    <row r="255" spans="1:18">
      <c r="A255" t="s">
        <v>721</v>
      </c>
      <c r="B255" t="s">
        <v>722</v>
      </c>
      <c r="C255" t="s">
        <v>723</v>
      </c>
      <c r="D255" t="s">
        <v>41</v>
      </c>
      <c r="E255" t="s">
        <v>34</v>
      </c>
      <c r="F255" t="s">
        <v>80</v>
      </c>
      <c r="G255" s="7">
        <v>45764</v>
      </c>
      <c r="H255">
        <v>116</v>
      </c>
      <c r="I255">
        <v>0</v>
      </c>
      <c r="J255" t="s">
        <v>36</v>
      </c>
      <c r="K255" t="s">
        <v>25</v>
      </c>
      <c r="L255" t="s">
        <v>37</v>
      </c>
      <c r="M255">
        <v>40</v>
      </c>
      <c r="N255" t="s">
        <v>27</v>
      </c>
      <c r="O255" t="str">
        <f t="shared" si="12"/>
        <v>2025-04</v>
      </c>
      <c r="P255" t="str">
        <f t="shared" si="13"/>
        <v>High</v>
      </c>
      <c r="Q255" t="str">
        <f t="shared" si="14"/>
        <v>No</v>
      </c>
      <c r="R255" s="10">
        <f t="shared" si="15"/>
        <v>0</v>
      </c>
    </row>
    <row r="256" spans="1:18">
      <c r="A256" t="s">
        <v>130</v>
      </c>
      <c r="B256" t="s">
        <v>131</v>
      </c>
      <c r="C256" t="s">
        <v>132</v>
      </c>
      <c r="D256" t="s">
        <v>49</v>
      </c>
      <c r="E256" t="s">
        <v>34</v>
      </c>
      <c r="F256" t="s">
        <v>73</v>
      </c>
      <c r="G256" s="7">
        <v>45646</v>
      </c>
      <c r="H256">
        <v>72</v>
      </c>
      <c r="I256">
        <v>0</v>
      </c>
      <c r="J256" t="s">
        <v>36</v>
      </c>
      <c r="K256" t="s">
        <v>25</v>
      </c>
      <c r="L256" t="s">
        <v>37</v>
      </c>
      <c r="M256">
        <v>34</v>
      </c>
      <c r="N256" t="s">
        <v>27</v>
      </c>
      <c r="O256" t="str">
        <f t="shared" si="12"/>
        <v>2024-12</v>
      </c>
      <c r="P256" t="str">
        <f t="shared" si="13"/>
        <v>High</v>
      </c>
      <c r="Q256" t="str">
        <f t="shared" si="14"/>
        <v>No</v>
      </c>
      <c r="R256" s="10">
        <f t="shared" si="15"/>
        <v>0</v>
      </c>
    </row>
    <row r="257" spans="1:18">
      <c r="A257" t="s">
        <v>1297</v>
      </c>
      <c r="B257" t="s">
        <v>1298</v>
      </c>
      <c r="C257" t="s">
        <v>1299</v>
      </c>
      <c r="D257" t="s">
        <v>49</v>
      </c>
      <c r="E257" t="s">
        <v>42</v>
      </c>
      <c r="F257" t="s">
        <v>73</v>
      </c>
      <c r="G257" s="7">
        <v>45758</v>
      </c>
      <c r="H257">
        <v>51</v>
      </c>
      <c r="I257">
        <v>0</v>
      </c>
      <c r="J257" t="s">
        <v>36</v>
      </c>
      <c r="K257" t="s">
        <v>25</v>
      </c>
      <c r="L257" t="s">
        <v>37</v>
      </c>
      <c r="M257">
        <v>30</v>
      </c>
      <c r="N257" t="s">
        <v>27</v>
      </c>
      <c r="O257" t="str">
        <f t="shared" si="12"/>
        <v>2025-04</v>
      </c>
      <c r="P257" t="str">
        <f t="shared" si="13"/>
        <v>Medium</v>
      </c>
      <c r="Q257" t="str">
        <f t="shared" si="14"/>
        <v>No</v>
      </c>
      <c r="R257" s="10">
        <f t="shared" si="15"/>
        <v>0</v>
      </c>
    </row>
    <row r="258" spans="1:18">
      <c r="A258" t="s">
        <v>1300</v>
      </c>
      <c r="B258" t="s">
        <v>1301</v>
      </c>
      <c r="C258" t="s">
        <v>1302</v>
      </c>
      <c r="D258" t="s">
        <v>41</v>
      </c>
      <c r="E258" t="s">
        <v>22</v>
      </c>
      <c r="F258" t="s">
        <v>58</v>
      </c>
      <c r="G258" s="7">
        <v>45681</v>
      </c>
      <c r="H258">
        <v>19</v>
      </c>
      <c r="I258">
        <v>0</v>
      </c>
      <c r="J258" t="s">
        <v>36</v>
      </c>
      <c r="K258" t="s">
        <v>25</v>
      </c>
      <c r="L258" t="s">
        <v>37</v>
      </c>
      <c r="M258">
        <v>6</v>
      </c>
      <c r="N258" t="s">
        <v>27</v>
      </c>
      <c r="O258" t="str">
        <f t="shared" si="12"/>
        <v>2025-01</v>
      </c>
      <c r="P258" t="str">
        <f t="shared" si="13"/>
        <v>Low</v>
      </c>
      <c r="Q258" t="str">
        <f t="shared" si="14"/>
        <v>No</v>
      </c>
      <c r="R258" s="10">
        <f t="shared" si="15"/>
        <v>0</v>
      </c>
    </row>
    <row r="259" spans="1:18">
      <c r="A259" t="s">
        <v>309</v>
      </c>
      <c r="B259" t="s">
        <v>310</v>
      </c>
      <c r="C259" t="s">
        <v>311</v>
      </c>
      <c r="D259" t="s">
        <v>21</v>
      </c>
      <c r="E259" t="s">
        <v>22</v>
      </c>
      <c r="F259" t="s">
        <v>80</v>
      </c>
      <c r="G259" s="7">
        <v>45684</v>
      </c>
      <c r="H259">
        <v>142</v>
      </c>
      <c r="I259">
        <v>8.64</v>
      </c>
      <c r="J259" t="s">
        <v>24</v>
      </c>
      <c r="K259" t="s">
        <v>45</v>
      </c>
      <c r="L259" t="s">
        <v>26</v>
      </c>
      <c r="M259">
        <v>25</v>
      </c>
      <c r="N259" t="s">
        <v>27</v>
      </c>
      <c r="O259" t="str">
        <f t="shared" ref="O259:O322" si="16">TEXT(G259,"yyyy-mm")</f>
        <v>2025-01</v>
      </c>
      <c r="P259" t="str">
        <f t="shared" ref="P259:P322" si="17">IF(H259&lt;20,"Low",IF(H259&lt;=60,"Medium","High"))</f>
        <v>High</v>
      </c>
      <c r="Q259" t="str">
        <f t="shared" ref="Q259:Q322" si="18">IF(I259&gt;0,"Yes","No")</f>
        <v>Yes</v>
      </c>
      <c r="R259" s="10">
        <f t="shared" ref="R259:R322" si="19">IF(N259="Yes",1,0)</f>
        <v>0</v>
      </c>
    </row>
    <row r="260" spans="1:18">
      <c r="A260" t="s">
        <v>1303</v>
      </c>
      <c r="B260" t="s">
        <v>1304</v>
      </c>
      <c r="C260" t="s">
        <v>1305</v>
      </c>
      <c r="D260" t="s">
        <v>49</v>
      </c>
      <c r="E260" t="s">
        <v>34</v>
      </c>
      <c r="F260" t="s">
        <v>58</v>
      </c>
      <c r="G260" s="7">
        <v>45753</v>
      </c>
      <c r="H260">
        <v>31</v>
      </c>
      <c r="I260">
        <v>0</v>
      </c>
      <c r="J260" t="s">
        <v>36</v>
      </c>
      <c r="K260" t="s">
        <v>25</v>
      </c>
      <c r="L260" t="s">
        <v>37</v>
      </c>
      <c r="M260">
        <v>49</v>
      </c>
      <c r="N260" t="s">
        <v>27</v>
      </c>
      <c r="O260" t="str">
        <f t="shared" si="16"/>
        <v>2025-04</v>
      </c>
      <c r="P260" t="str">
        <f t="shared" si="17"/>
        <v>Medium</v>
      </c>
      <c r="Q260" t="str">
        <f t="shared" si="18"/>
        <v>No</v>
      </c>
      <c r="R260" s="10">
        <f t="shared" si="19"/>
        <v>0</v>
      </c>
    </row>
    <row r="261" spans="1:18">
      <c r="A261" t="s">
        <v>1306</v>
      </c>
      <c r="B261" t="s">
        <v>88</v>
      </c>
      <c r="C261" t="s">
        <v>1307</v>
      </c>
      <c r="D261" t="s">
        <v>21</v>
      </c>
      <c r="E261" t="s">
        <v>42</v>
      </c>
      <c r="F261" t="s">
        <v>23</v>
      </c>
      <c r="G261" s="7">
        <v>45721</v>
      </c>
      <c r="H261">
        <v>26</v>
      </c>
      <c r="I261">
        <v>0</v>
      </c>
      <c r="J261" t="s">
        <v>36</v>
      </c>
      <c r="K261" t="s">
        <v>25</v>
      </c>
      <c r="L261" t="s">
        <v>26</v>
      </c>
      <c r="M261">
        <v>5</v>
      </c>
      <c r="N261" t="s">
        <v>27</v>
      </c>
      <c r="O261" t="str">
        <f t="shared" si="16"/>
        <v>2025-03</v>
      </c>
      <c r="P261" t="str">
        <f t="shared" si="17"/>
        <v>Medium</v>
      </c>
      <c r="Q261" t="str">
        <f t="shared" si="18"/>
        <v>No</v>
      </c>
      <c r="R261" s="10">
        <f t="shared" si="19"/>
        <v>0</v>
      </c>
    </row>
    <row r="262" spans="1:18">
      <c r="A262" t="s">
        <v>1012</v>
      </c>
      <c r="B262" t="s">
        <v>1013</v>
      </c>
      <c r="C262" t="s">
        <v>1014</v>
      </c>
      <c r="D262" t="s">
        <v>21</v>
      </c>
      <c r="E262" t="s">
        <v>42</v>
      </c>
      <c r="F262" t="s">
        <v>35</v>
      </c>
      <c r="G262" s="7">
        <v>45815</v>
      </c>
      <c r="H262">
        <v>144</v>
      </c>
      <c r="I262">
        <v>40.29</v>
      </c>
      <c r="J262" t="s">
        <v>173</v>
      </c>
      <c r="K262" t="s">
        <v>66</v>
      </c>
      <c r="L262" t="s">
        <v>26</v>
      </c>
      <c r="M262">
        <v>1</v>
      </c>
      <c r="N262" t="s">
        <v>30</v>
      </c>
      <c r="O262" t="str">
        <f t="shared" si="16"/>
        <v>2025-06</v>
      </c>
      <c r="P262" t="str">
        <f t="shared" si="17"/>
        <v>High</v>
      </c>
      <c r="Q262" t="str">
        <f t="shared" si="18"/>
        <v>Yes</v>
      </c>
      <c r="R262" s="10">
        <f t="shared" si="19"/>
        <v>1</v>
      </c>
    </row>
    <row r="263" spans="1:18">
      <c r="A263" t="s">
        <v>1308</v>
      </c>
      <c r="B263" t="s">
        <v>1309</v>
      </c>
      <c r="C263" t="s">
        <v>1310</v>
      </c>
      <c r="D263" t="s">
        <v>49</v>
      </c>
      <c r="E263" t="s">
        <v>34</v>
      </c>
      <c r="F263" t="s">
        <v>58</v>
      </c>
      <c r="G263" s="7">
        <v>45758</v>
      </c>
      <c r="H263">
        <v>6</v>
      </c>
      <c r="I263">
        <v>0</v>
      </c>
      <c r="J263" t="s">
        <v>36</v>
      </c>
      <c r="K263" t="s">
        <v>25</v>
      </c>
      <c r="L263" t="s">
        <v>37</v>
      </c>
      <c r="M263">
        <v>7</v>
      </c>
      <c r="N263" t="s">
        <v>27</v>
      </c>
      <c r="O263" t="str">
        <f t="shared" si="16"/>
        <v>2025-04</v>
      </c>
      <c r="P263" t="str">
        <f t="shared" si="17"/>
        <v>Low</v>
      </c>
      <c r="Q263" t="str">
        <f t="shared" si="18"/>
        <v>No</v>
      </c>
      <c r="R263" s="10">
        <f t="shared" si="19"/>
        <v>0</v>
      </c>
    </row>
    <row r="264" spans="1:18">
      <c r="A264" t="s">
        <v>925</v>
      </c>
      <c r="B264" t="s">
        <v>926</v>
      </c>
      <c r="C264" t="s">
        <v>927</v>
      </c>
      <c r="D264" t="s">
        <v>21</v>
      </c>
      <c r="E264" t="s">
        <v>42</v>
      </c>
      <c r="F264" t="s">
        <v>58</v>
      </c>
      <c r="G264" s="7">
        <v>45804</v>
      </c>
      <c r="H264">
        <v>176</v>
      </c>
      <c r="I264">
        <v>44.39</v>
      </c>
      <c r="J264" t="s">
        <v>44</v>
      </c>
      <c r="K264" t="s">
        <v>25</v>
      </c>
      <c r="L264" t="s">
        <v>26</v>
      </c>
      <c r="M264">
        <v>18</v>
      </c>
      <c r="N264" t="s">
        <v>30</v>
      </c>
      <c r="O264" t="str">
        <f t="shared" si="16"/>
        <v>2025-05</v>
      </c>
      <c r="P264" t="str">
        <f t="shared" si="17"/>
        <v>High</v>
      </c>
      <c r="Q264" t="str">
        <f t="shared" si="18"/>
        <v>Yes</v>
      </c>
      <c r="R264" s="10">
        <f t="shared" si="19"/>
        <v>1</v>
      </c>
    </row>
    <row r="265" spans="1:18">
      <c r="A265" t="s">
        <v>133</v>
      </c>
      <c r="B265" t="s">
        <v>134</v>
      </c>
      <c r="C265" t="s">
        <v>135</v>
      </c>
      <c r="D265" t="s">
        <v>57</v>
      </c>
      <c r="E265" t="s">
        <v>34</v>
      </c>
      <c r="F265" t="s">
        <v>35</v>
      </c>
      <c r="G265" s="7">
        <v>45650</v>
      </c>
      <c r="H265">
        <v>175</v>
      </c>
      <c r="I265">
        <v>0</v>
      </c>
      <c r="J265" t="s">
        <v>36</v>
      </c>
      <c r="K265" t="s">
        <v>53</v>
      </c>
      <c r="L265" t="s">
        <v>37</v>
      </c>
      <c r="M265">
        <v>22</v>
      </c>
      <c r="N265" t="s">
        <v>30</v>
      </c>
      <c r="O265" t="str">
        <f t="shared" si="16"/>
        <v>2024-12</v>
      </c>
      <c r="P265" t="str">
        <f t="shared" si="17"/>
        <v>High</v>
      </c>
      <c r="Q265" t="str">
        <f t="shared" si="18"/>
        <v>No</v>
      </c>
      <c r="R265" s="10">
        <f t="shared" si="19"/>
        <v>1</v>
      </c>
    </row>
    <row r="266" spans="1:18">
      <c r="A266" t="s">
        <v>312</v>
      </c>
      <c r="B266" t="s">
        <v>313</v>
      </c>
      <c r="C266" t="s">
        <v>314</v>
      </c>
      <c r="D266" t="s">
        <v>62</v>
      </c>
      <c r="E266" t="s">
        <v>22</v>
      </c>
      <c r="F266" t="s">
        <v>80</v>
      </c>
      <c r="G266" s="7">
        <v>45680</v>
      </c>
      <c r="H266">
        <v>131</v>
      </c>
      <c r="I266">
        <v>0</v>
      </c>
      <c r="J266" t="s">
        <v>36</v>
      </c>
      <c r="K266" t="s">
        <v>45</v>
      </c>
      <c r="L266" t="s">
        <v>37</v>
      </c>
      <c r="M266">
        <v>3</v>
      </c>
      <c r="N266" t="s">
        <v>27</v>
      </c>
      <c r="O266" t="str">
        <f t="shared" si="16"/>
        <v>2025-01</v>
      </c>
      <c r="P266" t="str">
        <f t="shared" si="17"/>
        <v>High</v>
      </c>
      <c r="Q266" t="str">
        <f t="shared" si="18"/>
        <v>No</v>
      </c>
      <c r="R266" s="10">
        <f t="shared" si="19"/>
        <v>0</v>
      </c>
    </row>
    <row r="267" spans="1:18">
      <c r="A267" t="s">
        <v>1311</v>
      </c>
      <c r="B267" t="s">
        <v>1312</v>
      </c>
      <c r="C267" t="s">
        <v>1313</v>
      </c>
      <c r="D267" t="s">
        <v>41</v>
      </c>
      <c r="E267" t="s">
        <v>22</v>
      </c>
      <c r="F267" t="s">
        <v>73</v>
      </c>
      <c r="G267" s="7">
        <v>45768</v>
      </c>
      <c r="H267">
        <v>17</v>
      </c>
      <c r="I267">
        <v>0</v>
      </c>
      <c r="J267" t="s">
        <v>36</v>
      </c>
      <c r="K267" t="s">
        <v>25</v>
      </c>
      <c r="L267" t="s">
        <v>26</v>
      </c>
      <c r="M267">
        <v>37</v>
      </c>
      <c r="N267" t="s">
        <v>27</v>
      </c>
      <c r="O267" t="str">
        <f t="shared" si="16"/>
        <v>2025-04</v>
      </c>
      <c r="P267" t="str">
        <f t="shared" si="17"/>
        <v>Low</v>
      </c>
      <c r="Q267" t="str">
        <f t="shared" si="18"/>
        <v>No</v>
      </c>
      <c r="R267" s="10">
        <f t="shared" si="19"/>
        <v>0</v>
      </c>
    </row>
    <row r="268" spans="1:18">
      <c r="A268" t="s">
        <v>1015</v>
      </c>
      <c r="B268" t="s">
        <v>1016</v>
      </c>
      <c r="C268" t="s">
        <v>1017</v>
      </c>
      <c r="D268" t="s">
        <v>49</v>
      </c>
      <c r="E268" t="s">
        <v>22</v>
      </c>
      <c r="F268" t="s">
        <v>35</v>
      </c>
      <c r="G268" s="7">
        <v>45810</v>
      </c>
      <c r="H268">
        <v>128</v>
      </c>
      <c r="I268">
        <v>0</v>
      </c>
      <c r="J268" t="s">
        <v>36</v>
      </c>
      <c r="K268" t="s">
        <v>25</v>
      </c>
      <c r="L268" t="s">
        <v>37</v>
      </c>
      <c r="M268">
        <v>15</v>
      </c>
      <c r="N268" t="s">
        <v>27</v>
      </c>
      <c r="O268" t="str">
        <f t="shared" si="16"/>
        <v>2025-06</v>
      </c>
      <c r="P268" t="str">
        <f t="shared" si="17"/>
        <v>High</v>
      </c>
      <c r="Q268" t="str">
        <f t="shared" si="18"/>
        <v>No</v>
      </c>
      <c r="R268" s="10">
        <f t="shared" si="19"/>
        <v>0</v>
      </c>
    </row>
    <row r="269" spans="1:18">
      <c r="A269" t="s">
        <v>1314</v>
      </c>
      <c r="B269" t="s">
        <v>1315</v>
      </c>
      <c r="C269" t="s">
        <v>1316</v>
      </c>
      <c r="D269" t="s">
        <v>49</v>
      </c>
      <c r="E269" t="s">
        <v>34</v>
      </c>
      <c r="F269" t="s">
        <v>58</v>
      </c>
      <c r="G269" s="7">
        <v>45780</v>
      </c>
      <c r="H269">
        <v>39</v>
      </c>
      <c r="I269">
        <v>0</v>
      </c>
      <c r="J269" t="s">
        <v>36</v>
      </c>
      <c r="K269" t="s">
        <v>25</v>
      </c>
      <c r="L269" t="s">
        <v>37</v>
      </c>
      <c r="M269">
        <v>18</v>
      </c>
      <c r="N269" t="s">
        <v>27</v>
      </c>
      <c r="O269" t="str">
        <f t="shared" si="16"/>
        <v>2025-05</v>
      </c>
      <c r="P269" t="str">
        <f t="shared" si="17"/>
        <v>Medium</v>
      </c>
      <c r="Q269" t="str">
        <f t="shared" si="18"/>
        <v>No</v>
      </c>
      <c r="R269" s="10">
        <f t="shared" si="19"/>
        <v>0</v>
      </c>
    </row>
    <row r="270" spans="1:18">
      <c r="A270" t="s">
        <v>931</v>
      </c>
      <c r="B270" t="s">
        <v>932</v>
      </c>
      <c r="C270" t="s">
        <v>933</v>
      </c>
      <c r="D270" t="s">
        <v>21</v>
      </c>
      <c r="E270" t="s">
        <v>22</v>
      </c>
      <c r="F270" t="s">
        <v>35</v>
      </c>
      <c r="G270" s="7">
        <v>45794</v>
      </c>
      <c r="H270">
        <v>122</v>
      </c>
      <c r="I270">
        <v>0</v>
      </c>
      <c r="J270" t="s">
        <v>36</v>
      </c>
      <c r="K270" t="s">
        <v>25</v>
      </c>
      <c r="L270" t="s">
        <v>37</v>
      </c>
      <c r="M270">
        <v>28</v>
      </c>
      <c r="N270" t="s">
        <v>27</v>
      </c>
      <c r="O270" t="str">
        <f t="shared" si="16"/>
        <v>2025-05</v>
      </c>
      <c r="P270" t="str">
        <f t="shared" si="17"/>
        <v>High</v>
      </c>
      <c r="Q270" t="str">
        <f t="shared" si="18"/>
        <v>No</v>
      </c>
      <c r="R270" s="10">
        <f t="shared" si="19"/>
        <v>0</v>
      </c>
    </row>
    <row r="271" spans="1:18">
      <c r="A271" t="s">
        <v>1317</v>
      </c>
      <c r="B271" t="s">
        <v>1318</v>
      </c>
      <c r="C271" t="s">
        <v>1319</v>
      </c>
      <c r="D271" t="s">
        <v>41</v>
      </c>
      <c r="E271" t="s">
        <v>34</v>
      </c>
      <c r="F271" t="s">
        <v>73</v>
      </c>
      <c r="G271" s="7">
        <v>45673</v>
      </c>
      <c r="H271">
        <v>15</v>
      </c>
      <c r="I271">
        <v>0</v>
      </c>
      <c r="J271" t="s">
        <v>36</v>
      </c>
      <c r="K271" t="s">
        <v>25</v>
      </c>
      <c r="L271" t="s">
        <v>26</v>
      </c>
      <c r="M271">
        <v>47</v>
      </c>
      <c r="N271" t="s">
        <v>27</v>
      </c>
      <c r="O271" t="str">
        <f t="shared" si="16"/>
        <v>2025-01</v>
      </c>
      <c r="P271" t="str">
        <f t="shared" si="17"/>
        <v>Low</v>
      </c>
      <c r="Q271" t="str">
        <f t="shared" si="18"/>
        <v>No</v>
      </c>
      <c r="R271" s="10">
        <f t="shared" si="19"/>
        <v>0</v>
      </c>
    </row>
    <row r="272" spans="1:18">
      <c r="A272" t="s">
        <v>724</v>
      </c>
      <c r="B272" t="s">
        <v>725</v>
      </c>
      <c r="C272" t="s">
        <v>726</v>
      </c>
      <c r="D272" t="s">
        <v>21</v>
      </c>
      <c r="E272" t="s">
        <v>42</v>
      </c>
      <c r="F272" t="s">
        <v>58</v>
      </c>
      <c r="G272" s="7">
        <v>45758</v>
      </c>
      <c r="H272">
        <v>166</v>
      </c>
      <c r="I272">
        <v>47.72</v>
      </c>
      <c r="J272" t="s">
        <v>129</v>
      </c>
      <c r="K272" t="s">
        <v>25</v>
      </c>
      <c r="L272" t="s">
        <v>26</v>
      </c>
      <c r="M272">
        <v>40</v>
      </c>
      <c r="N272" t="s">
        <v>30</v>
      </c>
      <c r="O272" t="str">
        <f t="shared" si="16"/>
        <v>2025-04</v>
      </c>
      <c r="P272" t="str">
        <f t="shared" si="17"/>
        <v>High</v>
      </c>
      <c r="Q272" t="str">
        <f t="shared" si="18"/>
        <v>Yes</v>
      </c>
      <c r="R272" s="10">
        <f t="shared" si="19"/>
        <v>1</v>
      </c>
    </row>
    <row r="273" spans="1:18">
      <c r="A273" t="s">
        <v>569</v>
      </c>
      <c r="B273" t="s">
        <v>570</v>
      </c>
      <c r="C273" t="s">
        <v>571</v>
      </c>
      <c r="D273" t="s">
        <v>62</v>
      </c>
      <c r="E273" t="s">
        <v>34</v>
      </c>
      <c r="F273" t="s">
        <v>58</v>
      </c>
      <c r="G273" s="7">
        <v>45721</v>
      </c>
      <c r="H273">
        <v>91</v>
      </c>
      <c r="I273">
        <v>45.51</v>
      </c>
      <c r="J273" t="s">
        <v>129</v>
      </c>
      <c r="K273" t="s">
        <v>25</v>
      </c>
      <c r="L273" t="s">
        <v>26</v>
      </c>
      <c r="M273">
        <v>8</v>
      </c>
      <c r="N273" t="s">
        <v>30</v>
      </c>
      <c r="O273" t="str">
        <f t="shared" si="16"/>
        <v>2025-03</v>
      </c>
      <c r="P273" t="str">
        <f t="shared" si="17"/>
        <v>High</v>
      </c>
      <c r="Q273" t="str">
        <f t="shared" si="18"/>
        <v>Yes</v>
      </c>
      <c r="R273" s="10">
        <f t="shared" si="19"/>
        <v>1</v>
      </c>
    </row>
    <row r="274" spans="1:18">
      <c r="A274" t="s">
        <v>1320</v>
      </c>
      <c r="B274" t="s">
        <v>1321</v>
      </c>
      <c r="C274" t="s">
        <v>1322</v>
      </c>
      <c r="D274" t="s">
        <v>57</v>
      </c>
      <c r="E274" t="s">
        <v>34</v>
      </c>
      <c r="F274" t="s">
        <v>58</v>
      </c>
      <c r="G274" s="7">
        <v>45770</v>
      </c>
      <c r="H274">
        <v>52</v>
      </c>
      <c r="I274">
        <v>0</v>
      </c>
      <c r="J274" t="s">
        <v>36</v>
      </c>
      <c r="K274" t="s">
        <v>25</v>
      </c>
      <c r="L274" t="s">
        <v>37</v>
      </c>
      <c r="M274">
        <v>3</v>
      </c>
      <c r="N274" t="s">
        <v>27</v>
      </c>
      <c r="O274" t="str">
        <f t="shared" si="16"/>
        <v>2025-04</v>
      </c>
      <c r="P274" t="str">
        <f t="shared" si="17"/>
        <v>Medium</v>
      </c>
      <c r="Q274" t="str">
        <f t="shared" si="18"/>
        <v>No</v>
      </c>
      <c r="R274" s="10">
        <f t="shared" si="19"/>
        <v>0</v>
      </c>
    </row>
    <row r="275" spans="1:18">
      <c r="A275" t="s">
        <v>315</v>
      </c>
      <c r="B275" t="s">
        <v>316</v>
      </c>
      <c r="C275" t="s">
        <v>317</v>
      </c>
      <c r="D275" t="s">
        <v>49</v>
      </c>
      <c r="E275" t="s">
        <v>34</v>
      </c>
      <c r="F275" t="s">
        <v>58</v>
      </c>
      <c r="G275" s="7">
        <v>45670</v>
      </c>
      <c r="H275">
        <v>130</v>
      </c>
      <c r="I275">
        <v>0</v>
      </c>
      <c r="J275" t="s">
        <v>36</v>
      </c>
      <c r="K275" t="s">
        <v>25</v>
      </c>
      <c r="L275" t="s">
        <v>37</v>
      </c>
      <c r="M275">
        <v>49</v>
      </c>
      <c r="N275" t="s">
        <v>27</v>
      </c>
      <c r="O275" t="str">
        <f t="shared" si="16"/>
        <v>2025-01</v>
      </c>
      <c r="P275" t="str">
        <f t="shared" si="17"/>
        <v>High</v>
      </c>
      <c r="Q275" t="str">
        <f t="shared" si="18"/>
        <v>No</v>
      </c>
      <c r="R275" s="10">
        <f t="shared" si="19"/>
        <v>0</v>
      </c>
    </row>
    <row r="276" spans="1:18">
      <c r="A276" t="s">
        <v>727</v>
      </c>
      <c r="B276" t="s">
        <v>728</v>
      </c>
      <c r="C276" t="s">
        <v>729</v>
      </c>
      <c r="D276" t="s">
        <v>49</v>
      </c>
      <c r="E276" t="s">
        <v>22</v>
      </c>
      <c r="F276" t="s">
        <v>23</v>
      </c>
      <c r="G276" s="7">
        <v>45750</v>
      </c>
      <c r="H276">
        <v>87</v>
      </c>
      <c r="I276">
        <v>0</v>
      </c>
      <c r="J276" t="s">
        <v>36</v>
      </c>
      <c r="K276" t="s">
        <v>25</v>
      </c>
      <c r="L276" t="s">
        <v>37</v>
      </c>
      <c r="M276">
        <v>33</v>
      </c>
      <c r="N276" t="s">
        <v>27</v>
      </c>
      <c r="O276" t="str">
        <f t="shared" si="16"/>
        <v>2025-04</v>
      </c>
      <c r="P276" t="str">
        <f t="shared" si="17"/>
        <v>High</v>
      </c>
      <c r="Q276" t="str">
        <f t="shared" si="18"/>
        <v>No</v>
      </c>
      <c r="R276" s="10">
        <f t="shared" si="19"/>
        <v>0</v>
      </c>
    </row>
    <row r="277" spans="1:18">
      <c r="A277" t="s">
        <v>572</v>
      </c>
      <c r="B277" t="s">
        <v>573</v>
      </c>
      <c r="C277" t="s">
        <v>574</v>
      </c>
      <c r="D277" t="s">
        <v>21</v>
      </c>
      <c r="E277" t="s">
        <v>34</v>
      </c>
      <c r="F277" t="s">
        <v>58</v>
      </c>
      <c r="G277" s="7">
        <v>45738</v>
      </c>
      <c r="H277">
        <v>71</v>
      </c>
      <c r="I277">
        <v>0</v>
      </c>
      <c r="J277" t="s">
        <v>36</v>
      </c>
      <c r="K277" t="s">
        <v>25</v>
      </c>
      <c r="L277" t="s">
        <v>37</v>
      </c>
      <c r="M277">
        <v>38</v>
      </c>
      <c r="N277" t="s">
        <v>27</v>
      </c>
      <c r="O277" t="str">
        <f t="shared" si="16"/>
        <v>2025-03</v>
      </c>
      <c r="P277" t="str">
        <f t="shared" si="17"/>
        <v>High</v>
      </c>
      <c r="Q277" t="str">
        <f t="shared" si="18"/>
        <v>No</v>
      </c>
      <c r="R277" s="10">
        <f t="shared" si="19"/>
        <v>0</v>
      </c>
    </row>
    <row r="278" spans="1:18">
      <c r="A278" t="s">
        <v>575</v>
      </c>
      <c r="B278" t="s">
        <v>576</v>
      </c>
      <c r="C278" t="s">
        <v>577</v>
      </c>
      <c r="D278" t="s">
        <v>21</v>
      </c>
      <c r="E278" t="s">
        <v>22</v>
      </c>
      <c r="F278" t="s">
        <v>58</v>
      </c>
      <c r="G278" s="7">
        <v>45735</v>
      </c>
      <c r="H278">
        <v>63</v>
      </c>
      <c r="I278">
        <v>0</v>
      </c>
      <c r="J278" t="s">
        <v>36</v>
      </c>
      <c r="K278" t="s">
        <v>25</v>
      </c>
      <c r="L278" t="s">
        <v>37</v>
      </c>
      <c r="M278">
        <v>49</v>
      </c>
      <c r="N278" t="s">
        <v>27</v>
      </c>
      <c r="O278" t="str">
        <f t="shared" si="16"/>
        <v>2025-03</v>
      </c>
      <c r="P278" t="str">
        <f t="shared" si="17"/>
        <v>High</v>
      </c>
      <c r="Q278" t="str">
        <f t="shared" si="18"/>
        <v>No</v>
      </c>
      <c r="R278" s="10">
        <f t="shared" si="19"/>
        <v>0</v>
      </c>
    </row>
    <row r="279" spans="1:18">
      <c r="A279" t="s">
        <v>578</v>
      </c>
      <c r="B279" t="s">
        <v>579</v>
      </c>
      <c r="C279" t="s">
        <v>580</v>
      </c>
      <c r="D279" t="s">
        <v>21</v>
      </c>
      <c r="E279" t="s">
        <v>42</v>
      </c>
      <c r="F279" t="s">
        <v>58</v>
      </c>
      <c r="G279" s="7">
        <v>45744</v>
      </c>
      <c r="H279">
        <v>175</v>
      </c>
      <c r="I279">
        <v>0</v>
      </c>
      <c r="J279" t="s">
        <v>36</v>
      </c>
      <c r="K279" t="s">
        <v>45</v>
      </c>
      <c r="L279" t="s">
        <v>37</v>
      </c>
      <c r="M279">
        <v>33</v>
      </c>
      <c r="N279" t="s">
        <v>30</v>
      </c>
      <c r="O279" t="str">
        <f t="shared" si="16"/>
        <v>2025-03</v>
      </c>
      <c r="P279" t="str">
        <f t="shared" si="17"/>
        <v>High</v>
      </c>
      <c r="Q279" t="str">
        <f t="shared" si="18"/>
        <v>No</v>
      </c>
      <c r="R279" s="10">
        <f t="shared" si="19"/>
        <v>1</v>
      </c>
    </row>
    <row r="280" spans="1:18">
      <c r="A280" t="s">
        <v>457</v>
      </c>
      <c r="B280" t="s">
        <v>458</v>
      </c>
      <c r="C280" t="s">
        <v>459</v>
      </c>
      <c r="D280" t="s">
        <v>49</v>
      </c>
      <c r="E280" t="s">
        <v>34</v>
      </c>
      <c r="F280" t="s">
        <v>80</v>
      </c>
      <c r="G280" s="7">
        <v>45690</v>
      </c>
      <c r="H280">
        <v>91</v>
      </c>
      <c r="I280">
        <v>0</v>
      </c>
      <c r="J280" t="s">
        <v>36</v>
      </c>
      <c r="K280" t="s">
        <v>25</v>
      </c>
      <c r="L280" t="s">
        <v>37</v>
      </c>
      <c r="M280">
        <v>22</v>
      </c>
      <c r="N280" t="s">
        <v>27</v>
      </c>
      <c r="O280" t="str">
        <f t="shared" si="16"/>
        <v>2025-02</v>
      </c>
      <c r="P280" t="str">
        <f t="shared" si="17"/>
        <v>High</v>
      </c>
      <c r="Q280" t="str">
        <f t="shared" si="18"/>
        <v>No</v>
      </c>
      <c r="R280" s="10">
        <f t="shared" si="19"/>
        <v>0</v>
      </c>
    </row>
    <row r="281" spans="1:18">
      <c r="A281" t="s">
        <v>460</v>
      </c>
      <c r="B281" t="s">
        <v>461</v>
      </c>
      <c r="C281" t="s">
        <v>462</v>
      </c>
      <c r="D281" t="s">
        <v>57</v>
      </c>
      <c r="E281" t="s">
        <v>42</v>
      </c>
      <c r="F281" t="s">
        <v>58</v>
      </c>
      <c r="G281" s="7">
        <v>45708</v>
      </c>
      <c r="H281">
        <v>127</v>
      </c>
      <c r="I281">
        <v>40.21</v>
      </c>
      <c r="J281" t="s">
        <v>44</v>
      </c>
      <c r="K281" t="s">
        <v>25</v>
      </c>
      <c r="L281" t="s">
        <v>26</v>
      </c>
      <c r="M281">
        <v>38</v>
      </c>
      <c r="N281" t="s">
        <v>30</v>
      </c>
      <c r="O281" t="str">
        <f t="shared" si="16"/>
        <v>2025-02</v>
      </c>
      <c r="P281" t="str">
        <f t="shared" si="17"/>
        <v>High</v>
      </c>
      <c r="Q281" t="str">
        <f t="shared" si="18"/>
        <v>Yes</v>
      </c>
      <c r="R281" s="10">
        <f t="shared" si="19"/>
        <v>1</v>
      </c>
    </row>
    <row r="282" spans="1:18">
      <c r="A282" t="s">
        <v>318</v>
      </c>
      <c r="B282" t="s">
        <v>319</v>
      </c>
      <c r="C282" t="s">
        <v>320</v>
      </c>
      <c r="D282" t="s">
        <v>21</v>
      </c>
      <c r="E282" t="s">
        <v>42</v>
      </c>
      <c r="F282" t="s">
        <v>43</v>
      </c>
      <c r="G282" s="7">
        <v>45671</v>
      </c>
      <c r="H282">
        <v>179</v>
      </c>
      <c r="I282">
        <v>0</v>
      </c>
      <c r="J282" t="s">
        <v>36</v>
      </c>
      <c r="K282" t="s">
        <v>25</v>
      </c>
      <c r="L282" t="s">
        <v>26</v>
      </c>
      <c r="M282">
        <v>34</v>
      </c>
      <c r="N282" t="s">
        <v>30</v>
      </c>
      <c r="O282" t="str">
        <f t="shared" si="16"/>
        <v>2025-01</v>
      </c>
      <c r="P282" t="str">
        <f t="shared" si="17"/>
        <v>High</v>
      </c>
      <c r="Q282" t="str">
        <f t="shared" si="18"/>
        <v>No</v>
      </c>
      <c r="R282" s="10">
        <f t="shared" si="19"/>
        <v>1</v>
      </c>
    </row>
    <row r="283" spans="1:18">
      <c r="A283" t="s">
        <v>581</v>
      </c>
      <c r="B283" t="s">
        <v>582</v>
      </c>
      <c r="C283" t="s">
        <v>583</v>
      </c>
      <c r="D283" t="s">
        <v>62</v>
      </c>
      <c r="E283" t="s">
        <v>22</v>
      </c>
      <c r="F283" t="s">
        <v>23</v>
      </c>
      <c r="G283" s="7">
        <v>45727</v>
      </c>
      <c r="H283">
        <v>160</v>
      </c>
      <c r="I283">
        <v>0</v>
      </c>
      <c r="J283" t="s">
        <v>36</v>
      </c>
      <c r="K283" t="s">
        <v>25</v>
      </c>
      <c r="L283" t="s">
        <v>37</v>
      </c>
      <c r="M283">
        <v>1</v>
      </c>
      <c r="N283" t="s">
        <v>30</v>
      </c>
      <c r="O283" t="str">
        <f t="shared" si="16"/>
        <v>2025-03</v>
      </c>
      <c r="P283" t="str">
        <f t="shared" si="17"/>
        <v>High</v>
      </c>
      <c r="Q283" t="str">
        <f t="shared" si="18"/>
        <v>No</v>
      </c>
      <c r="R283" s="10">
        <f t="shared" si="19"/>
        <v>1</v>
      </c>
    </row>
    <row r="284" spans="1:18">
      <c r="A284" t="s">
        <v>730</v>
      </c>
      <c r="B284" t="s">
        <v>731</v>
      </c>
      <c r="C284" t="s">
        <v>732</v>
      </c>
      <c r="D284" t="s">
        <v>57</v>
      </c>
      <c r="E284" t="s">
        <v>34</v>
      </c>
      <c r="F284" t="s">
        <v>73</v>
      </c>
      <c r="G284" s="7">
        <v>45762</v>
      </c>
      <c r="H284">
        <v>175</v>
      </c>
      <c r="I284">
        <v>0</v>
      </c>
      <c r="J284" t="s">
        <v>36</v>
      </c>
      <c r="K284" t="s">
        <v>25</v>
      </c>
      <c r="L284" t="s">
        <v>37</v>
      </c>
      <c r="M284">
        <v>1</v>
      </c>
      <c r="N284" t="s">
        <v>30</v>
      </c>
      <c r="O284" t="str">
        <f t="shared" si="16"/>
        <v>2025-04</v>
      </c>
      <c r="P284" t="str">
        <f t="shared" si="17"/>
        <v>High</v>
      </c>
      <c r="Q284" t="str">
        <f t="shared" si="18"/>
        <v>No</v>
      </c>
      <c r="R284" s="10">
        <f t="shared" si="19"/>
        <v>1</v>
      </c>
    </row>
    <row r="285" spans="1:18">
      <c r="A285" t="s">
        <v>463</v>
      </c>
      <c r="B285" t="s">
        <v>464</v>
      </c>
      <c r="C285" t="s">
        <v>465</v>
      </c>
      <c r="D285" t="s">
        <v>62</v>
      </c>
      <c r="E285" t="s">
        <v>34</v>
      </c>
      <c r="F285" t="s">
        <v>58</v>
      </c>
      <c r="G285" s="7">
        <v>45708</v>
      </c>
      <c r="H285">
        <v>112</v>
      </c>
      <c r="I285">
        <v>13.89</v>
      </c>
      <c r="J285" t="s">
        <v>44</v>
      </c>
      <c r="K285" t="s">
        <v>45</v>
      </c>
      <c r="L285" t="s">
        <v>26</v>
      </c>
      <c r="M285">
        <v>25</v>
      </c>
      <c r="N285" t="s">
        <v>27</v>
      </c>
      <c r="O285" t="str">
        <f t="shared" si="16"/>
        <v>2025-02</v>
      </c>
      <c r="P285" t="str">
        <f t="shared" si="17"/>
        <v>High</v>
      </c>
      <c r="Q285" t="str">
        <f t="shared" si="18"/>
        <v>Yes</v>
      </c>
      <c r="R285" s="10">
        <f t="shared" si="19"/>
        <v>0</v>
      </c>
    </row>
    <row r="286" spans="1:18">
      <c r="A286" t="s">
        <v>1018</v>
      </c>
      <c r="B286" t="s">
        <v>1019</v>
      </c>
      <c r="C286" t="s">
        <v>1020</v>
      </c>
      <c r="D286" t="s">
        <v>57</v>
      </c>
      <c r="E286" t="s">
        <v>42</v>
      </c>
      <c r="F286" t="s">
        <v>43</v>
      </c>
      <c r="G286" s="7">
        <v>45811</v>
      </c>
      <c r="H286">
        <v>85</v>
      </c>
      <c r="I286">
        <v>0</v>
      </c>
      <c r="J286" t="s">
        <v>36</v>
      </c>
      <c r="K286" t="s">
        <v>66</v>
      </c>
      <c r="L286" t="s">
        <v>37</v>
      </c>
      <c r="M286">
        <v>24</v>
      </c>
      <c r="N286" t="s">
        <v>27</v>
      </c>
      <c r="O286" t="str">
        <f t="shared" si="16"/>
        <v>2025-06</v>
      </c>
      <c r="P286" t="str">
        <f t="shared" si="17"/>
        <v>High</v>
      </c>
      <c r="Q286" t="str">
        <f t="shared" si="18"/>
        <v>No</v>
      </c>
      <c r="R286" s="10">
        <f t="shared" si="19"/>
        <v>0</v>
      </c>
    </row>
    <row r="287" spans="1:18">
      <c r="A287" t="s">
        <v>1323</v>
      </c>
      <c r="B287" t="s">
        <v>1324</v>
      </c>
      <c r="C287" t="s">
        <v>1325</v>
      </c>
      <c r="D287" t="s">
        <v>41</v>
      </c>
      <c r="E287" t="s">
        <v>34</v>
      </c>
      <c r="F287" t="s">
        <v>43</v>
      </c>
      <c r="G287" s="7">
        <v>45664</v>
      </c>
      <c r="H287">
        <v>16</v>
      </c>
      <c r="I287">
        <v>0</v>
      </c>
      <c r="J287" t="s">
        <v>36</v>
      </c>
      <c r="K287" t="s">
        <v>45</v>
      </c>
      <c r="L287" t="s">
        <v>37</v>
      </c>
      <c r="M287">
        <v>6</v>
      </c>
      <c r="N287" t="s">
        <v>27</v>
      </c>
      <c r="O287" t="str">
        <f t="shared" si="16"/>
        <v>2025-01</v>
      </c>
      <c r="P287" t="str">
        <f t="shared" si="17"/>
        <v>Low</v>
      </c>
      <c r="Q287" t="str">
        <f t="shared" si="18"/>
        <v>No</v>
      </c>
      <c r="R287" s="10">
        <f t="shared" si="19"/>
        <v>0</v>
      </c>
    </row>
    <row r="288" spans="1:18">
      <c r="A288" t="s">
        <v>466</v>
      </c>
      <c r="B288" t="s">
        <v>467</v>
      </c>
      <c r="C288" t="s">
        <v>468</v>
      </c>
      <c r="D288" t="s">
        <v>41</v>
      </c>
      <c r="E288" t="s">
        <v>34</v>
      </c>
      <c r="F288" t="s">
        <v>58</v>
      </c>
      <c r="G288" s="7">
        <v>45704</v>
      </c>
      <c r="H288">
        <v>80</v>
      </c>
      <c r="I288">
        <v>0</v>
      </c>
      <c r="J288" t="s">
        <v>36</v>
      </c>
      <c r="K288" t="s">
        <v>25</v>
      </c>
      <c r="L288" t="s">
        <v>37</v>
      </c>
      <c r="M288">
        <v>16</v>
      </c>
      <c r="N288" t="s">
        <v>27</v>
      </c>
      <c r="O288" t="str">
        <f t="shared" si="16"/>
        <v>2025-02</v>
      </c>
      <c r="P288" t="str">
        <f t="shared" si="17"/>
        <v>High</v>
      </c>
      <c r="Q288" t="str">
        <f t="shared" si="18"/>
        <v>No</v>
      </c>
      <c r="R288" s="10">
        <f t="shared" si="19"/>
        <v>0</v>
      </c>
    </row>
    <row r="289" spans="1:18">
      <c r="A289" t="s">
        <v>584</v>
      </c>
      <c r="B289" t="s">
        <v>585</v>
      </c>
      <c r="C289" t="s">
        <v>586</v>
      </c>
      <c r="D289" t="s">
        <v>57</v>
      </c>
      <c r="E289" t="s">
        <v>22</v>
      </c>
      <c r="F289" t="s">
        <v>23</v>
      </c>
      <c r="G289" s="7">
        <v>45746</v>
      </c>
      <c r="H289">
        <v>69</v>
      </c>
      <c r="I289">
        <v>0</v>
      </c>
      <c r="J289" t="s">
        <v>36</v>
      </c>
      <c r="K289" t="s">
        <v>53</v>
      </c>
      <c r="L289" t="s">
        <v>26</v>
      </c>
      <c r="M289">
        <v>17</v>
      </c>
      <c r="N289" t="s">
        <v>27</v>
      </c>
      <c r="O289" t="str">
        <f t="shared" si="16"/>
        <v>2025-03</v>
      </c>
      <c r="P289" t="str">
        <f t="shared" si="17"/>
        <v>High</v>
      </c>
      <c r="Q289" t="str">
        <f t="shared" si="18"/>
        <v>No</v>
      </c>
      <c r="R289" s="10">
        <f t="shared" si="19"/>
        <v>0</v>
      </c>
    </row>
    <row r="290" spans="1:18">
      <c r="A290" t="s">
        <v>1326</v>
      </c>
      <c r="B290" t="s">
        <v>1327</v>
      </c>
      <c r="C290" t="s">
        <v>1328</v>
      </c>
      <c r="D290" t="s">
        <v>62</v>
      </c>
      <c r="E290" t="s">
        <v>42</v>
      </c>
      <c r="F290" t="s">
        <v>23</v>
      </c>
      <c r="G290" s="7">
        <v>45719</v>
      </c>
      <c r="H290">
        <v>25</v>
      </c>
      <c r="I290">
        <v>0</v>
      </c>
      <c r="J290" t="s">
        <v>36</v>
      </c>
      <c r="K290" t="s">
        <v>25</v>
      </c>
      <c r="L290" t="s">
        <v>37</v>
      </c>
      <c r="M290">
        <v>34</v>
      </c>
      <c r="N290" t="s">
        <v>27</v>
      </c>
      <c r="O290" t="str">
        <f t="shared" si="16"/>
        <v>2025-03</v>
      </c>
      <c r="P290" t="str">
        <f t="shared" si="17"/>
        <v>Medium</v>
      </c>
      <c r="Q290" t="str">
        <f t="shared" si="18"/>
        <v>No</v>
      </c>
      <c r="R290" s="10">
        <f t="shared" si="19"/>
        <v>0</v>
      </c>
    </row>
    <row r="291" spans="1:18">
      <c r="A291" t="s">
        <v>139</v>
      </c>
      <c r="B291" t="s">
        <v>140</v>
      </c>
      <c r="C291" t="s">
        <v>141</v>
      </c>
      <c r="D291" t="s">
        <v>41</v>
      </c>
      <c r="E291" t="s">
        <v>34</v>
      </c>
      <c r="F291" t="s">
        <v>73</v>
      </c>
      <c r="G291" s="7">
        <v>45652</v>
      </c>
      <c r="H291">
        <v>154</v>
      </c>
      <c r="I291">
        <v>0</v>
      </c>
      <c r="J291" t="s">
        <v>36</v>
      </c>
      <c r="K291" t="s">
        <v>25</v>
      </c>
      <c r="L291" t="s">
        <v>26</v>
      </c>
      <c r="M291">
        <v>14</v>
      </c>
      <c r="N291" t="s">
        <v>30</v>
      </c>
      <c r="O291" t="str">
        <f t="shared" si="16"/>
        <v>2024-12</v>
      </c>
      <c r="P291" t="str">
        <f t="shared" si="17"/>
        <v>High</v>
      </c>
      <c r="Q291" t="str">
        <f t="shared" si="18"/>
        <v>No</v>
      </c>
      <c r="R291" s="10">
        <f t="shared" si="19"/>
        <v>1</v>
      </c>
    </row>
    <row r="292" spans="1:18">
      <c r="A292" t="s">
        <v>736</v>
      </c>
      <c r="B292" t="s">
        <v>737</v>
      </c>
      <c r="C292" t="s">
        <v>738</v>
      </c>
      <c r="D292" t="s">
        <v>62</v>
      </c>
      <c r="E292" t="s">
        <v>34</v>
      </c>
      <c r="F292" t="s">
        <v>43</v>
      </c>
      <c r="G292" s="7">
        <v>45771</v>
      </c>
      <c r="H292">
        <v>66</v>
      </c>
      <c r="I292">
        <v>0</v>
      </c>
      <c r="J292" t="s">
        <v>36</v>
      </c>
      <c r="K292" t="s">
        <v>66</v>
      </c>
      <c r="L292" t="s">
        <v>37</v>
      </c>
      <c r="M292">
        <v>4</v>
      </c>
      <c r="N292" t="s">
        <v>27</v>
      </c>
      <c r="O292" t="str">
        <f t="shared" si="16"/>
        <v>2025-04</v>
      </c>
      <c r="P292" t="str">
        <f t="shared" si="17"/>
        <v>High</v>
      </c>
      <c r="Q292" t="str">
        <f t="shared" si="18"/>
        <v>No</v>
      </c>
      <c r="R292" s="10">
        <f t="shared" si="19"/>
        <v>0</v>
      </c>
    </row>
    <row r="293" spans="1:18">
      <c r="A293" t="s">
        <v>937</v>
      </c>
      <c r="B293" t="s">
        <v>938</v>
      </c>
      <c r="C293" t="s">
        <v>939</v>
      </c>
      <c r="D293" t="s">
        <v>21</v>
      </c>
      <c r="E293" t="s">
        <v>42</v>
      </c>
      <c r="F293" t="s">
        <v>58</v>
      </c>
      <c r="G293" s="7">
        <v>45797</v>
      </c>
      <c r="H293">
        <v>164</v>
      </c>
      <c r="I293">
        <v>14.33</v>
      </c>
      <c r="J293" t="s">
        <v>129</v>
      </c>
      <c r="K293" t="s">
        <v>25</v>
      </c>
      <c r="L293" t="s">
        <v>26</v>
      </c>
      <c r="M293">
        <v>4</v>
      </c>
      <c r="N293" t="s">
        <v>30</v>
      </c>
      <c r="O293" t="str">
        <f t="shared" si="16"/>
        <v>2025-05</v>
      </c>
      <c r="P293" t="str">
        <f t="shared" si="17"/>
        <v>High</v>
      </c>
      <c r="Q293" t="str">
        <f t="shared" si="18"/>
        <v>Yes</v>
      </c>
      <c r="R293" s="10">
        <f t="shared" si="19"/>
        <v>1</v>
      </c>
    </row>
    <row r="294" spans="1:18">
      <c r="A294" t="s">
        <v>1329</v>
      </c>
      <c r="B294" t="s">
        <v>1330</v>
      </c>
      <c r="C294" t="s">
        <v>1331</v>
      </c>
      <c r="D294" t="s">
        <v>49</v>
      </c>
      <c r="E294" t="s">
        <v>42</v>
      </c>
      <c r="F294" t="s">
        <v>35</v>
      </c>
      <c r="G294" s="7">
        <v>45811</v>
      </c>
      <c r="H294">
        <v>9</v>
      </c>
      <c r="I294">
        <v>0</v>
      </c>
      <c r="J294" t="s">
        <v>36</v>
      </c>
      <c r="K294" t="s">
        <v>25</v>
      </c>
      <c r="L294" t="s">
        <v>37</v>
      </c>
      <c r="M294">
        <v>10</v>
      </c>
      <c r="N294" t="s">
        <v>27</v>
      </c>
      <c r="O294" t="str">
        <f t="shared" si="16"/>
        <v>2025-06</v>
      </c>
      <c r="P294" t="str">
        <f t="shared" si="17"/>
        <v>Low</v>
      </c>
      <c r="Q294" t="str">
        <f t="shared" si="18"/>
        <v>No</v>
      </c>
      <c r="R294" s="10">
        <f t="shared" si="19"/>
        <v>0</v>
      </c>
    </row>
    <row r="295" spans="1:18">
      <c r="A295" t="s">
        <v>1332</v>
      </c>
      <c r="B295" t="s">
        <v>1333</v>
      </c>
      <c r="C295" t="s">
        <v>1334</v>
      </c>
      <c r="D295" t="s">
        <v>57</v>
      </c>
      <c r="E295" t="s">
        <v>22</v>
      </c>
      <c r="F295" t="s">
        <v>35</v>
      </c>
      <c r="G295" s="7">
        <v>45788</v>
      </c>
      <c r="H295">
        <v>31</v>
      </c>
      <c r="I295">
        <v>0</v>
      </c>
      <c r="J295" t="s">
        <v>36</v>
      </c>
      <c r="K295" t="s">
        <v>45</v>
      </c>
      <c r="L295" t="s">
        <v>37</v>
      </c>
      <c r="M295">
        <v>23</v>
      </c>
      <c r="N295" t="s">
        <v>27</v>
      </c>
      <c r="O295" t="str">
        <f t="shared" si="16"/>
        <v>2025-05</v>
      </c>
      <c r="P295" t="str">
        <f t="shared" si="17"/>
        <v>Medium</v>
      </c>
      <c r="Q295" t="str">
        <f t="shared" si="18"/>
        <v>No</v>
      </c>
      <c r="R295" s="10">
        <f t="shared" si="19"/>
        <v>0</v>
      </c>
    </row>
    <row r="296" spans="1:18">
      <c r="A296" t="s">
        <v>321</v>
      </c>
      <c r="B296" t="s">
        <v>322</v>
      </c>
      <c r="C296" t="s">
        <v>323</v>
      </c>
      <c r="D296" t="s">
        <v>49</v>
      </c>
      <c r="E296" t="s">
        <v>22</v>
      </c>
      <c r="F296" t="s">
        <v>23</v>
      </c>
      <c r="G296" s="7">
        <v>45669</v>
      </c>
      <c r="H296">
        <v>61</v>
      </c>
      <c r="I296">
        <v>0</v>
      </c>
      <c r="J296" t="s">
        <v>36</v>
      </c>
      <c r="K296" t="s">
        <v>25</v>
      </c>
      <c r="L296" t="s">
        <v>37</v>
      </c>
      <c r="M296">
        <v>30</v>
      </c>
      <c r="N296" t="s">
        <v>27</v>
      </c>
      <c r="O296" t="str">
        <f t="shared" si="16"/>
        <v>2025-01</v>
      </c>
      <c r="P296" t="str">
        <f t="shared" si="17"/>
        <v>High</v>
      </c>
      <c r="Q296" t="str">
        <f t="shared" si="18"/>
        <v>No</v>
      </c>
      <c r="R296" s="10">
        <f t="shared" si="19"/>
        <v>0</v>
      </c>
    </row>
    <row r="297" spans="1:18">
      <c r="A297" t="s">
        <v>587</v>
      </c>
      <c r="B297" t="s">
        <v>588</v>
      </c>
      <c r="C297" t="s">
        <v>589</v>
      </c>
      <c r="D297" t="s">
        <v>49</v>
      </c>
      <c r="E297" t="s">
        <v>34</v>
      </c>
      <c r="F297" t="s">
        <v>80</v>
      </c>
      <c r="G297" s="7">
        <v>45719</v>
      </c>
      <c r="H297">
        <v>178</v>
      </c>
      <c r="I297">
        <v>0</v>
      </c>
      <c r="J297" t="s">
        <v>36</v>
      </c>
      <c r="K297" t="s">
        <v>25</v>
      </c>
      <c r="L297" t="s">
        <v>37</v>
      </c>
      <c r="M297">
        <v>30</v>
      </c>
      <c r="N297" t="s">
        <v>30</v>
      </c>
      <c r="O297" t="str">
        <f t="shared" si="16"/>
        <v>2025-03</v>
      </c>
      <c r="P297" t="str">
        <f t="shared" si="17"/>
        <v>High</v>
      </c>
      <c r="Q297" t="str">
        <f t="shared" si="18"/>
        <v>No</v>
      </c>
      <c r="R297" s="10">
        <f t="shared" si="19"/>
        <v>1</v>
      </c>
    </row>
    <row r="298" spans="1:18">
      <c r="A298" t="s">
        <v>943</v>
      </c>
      <c r="B298" t="s">
        <v>944</v>
      </c>
      <c r="C298" t="s">
        <v>945</v>
      </c>
      <c r="D298" t="s">
        <v>57</v>
      </c>
      <c r="E298" t="s">
        <v>34</v>
      </c>
      <c r="F298" t="s">
        <v>35</v>
      </c>
      <c r="G298" s="7">
        <v>45782</v>
      </c>
      <c r="H298">
        <v>68</v>
      </c>
      <c r="I298">
        <v>0</v>
      </c>
      <c r="J298" t="s">
        <v>36</v>
      </c>
      <c r="K298" t="s">
        <v>25</v>
      </c>
      <c r="L298" t="s">
        <v>37</v>
      </c>
      <c r="M298">
        <v>21</v>
      </c>
      <c r="N298" t="s">
        <v>27</v>
      </c>
      <c r="O298" t="str">
        <f t="shared" si="16"/>
        <v>2025-05</v>
      </c>
      <c r="P298" t="str">
        <f t="shared" si="17"/>
        <v>High</v>
      </c>
      <c r="Q298" t="str">
        <f t="shared" si="18"/>
        <v>No</v>
      </c>
      <c r="R298" s="10">
        <f t="shared" si="19"/>
        <v>0</v>
      </c>
    </row>
    <row r="299" spans="1:18">
      <c r="A299" t="s">
        <v>142</v>
      </c>
      <c r="B299" t="s">
        <v>143</v>
      </c>
      <c r="C299" t="s">
        <v>144</v>
      </c>
      <c r="D299" t="s">
        <v>62</v>
      </c>
      <c r="E299" t="s">
        <v>34</v>
      </c>
      <c r="F299" t="s">
        <v>35</v>
      </c>
      <c r="G299" s="7">
        <v>45644</v>
      </c>
      <c r="H299">
        <v>174</v>
      </c>
      <c r="I299">
        <v>0</v>
      </c>
      <c r="J299" t="s">
        <v>36</v>
      </c>
      <c r="K299" t="s">
        <v>66</v>
      </c>
      <c r="L299" t="s">
        <v>37</v>
      </c>
      <c r="M299">
        <v>50</v>
      </c>
      <c r="N299" t="s">
        <v>30</v>
      </c>
      <c r="O299" t="str">
        <f t="shared" si="16"/>
        <v>2024-12</v>
      </c>
      <c r="P299" t="str">
        <f t="shared" si="17"/>
        <v>High</v>
      </c>
      <c r="Q299" t="str">
        <f t="shared" si="18"/>
        <v>No</v>
      </c>
      <c r="R299" s="10">
        <f t="shared" si="19"/>
        <v>1</v>
      </c>
    </row>
    <row r="300" spans="1:18">
      <c r="A300" t="s">
        <v>1335</v>
      </c>
      <c r="B300" t="s">
        <v>1336</v>
      </c>
      <c r="C300" t="s">
        <v>1337</v>
      </c>
      <c r="D300" t="s">
        <v>62</v>
      </c>
      <c r="E300" t="s">
        <v>22</v>
      </c>
      <c r="F300" t="s">
        <v>80</v>
      </c>
      <c r="G300" s="7">
        <v>45705</v>
      </c>
      <c r="H300">
        <v>42</v>
      </c>
      <c r="I300">
        <v>0</v>
      </c>
      <c r="J300" t="s">
        <v>36</v>
      </c>
      <c r="K300" t="s">
        <v>25</v>
      </c>
      <c r="L300" t="s">
        <v>37</v>
      </c>
      <c r="M300">
        <v>15</v>
      </c>
      <c r="N300" t="s">
        <v>27</v>
      </c>
      <c r="O300" t="str">
        <f t="shared" si="16"/>
        <v>2025-02</v>
      </c>
      <c r="P300" t="str">
        <f t="shared" si="17"/>
        <v>Medium</v>
      </c>
      <c r="Q300" t="str">
        <f t="shared" si="18"/>
        <v>No</v>
      </c>
      <c r="R300" s="10">
        <f t="shared" si="19"/>
        <v>0</v>
      </c>
    </row>
    <row r="301" spans="1:18">
      <c r="A301" t="s">
        <v>324</v>
      </c>
      <c r="B301" t="s">
        <v>325</v>
      </c>
      <c r="C301" t="s">
        <v>326</v>
      </c>
      <c r="D301" t="s">
        <v>21</v>
      </c>
      <c r="E301" t="s">
        <v>42</v>
      </c>
      <c r="F301" t="s">
        <v>35</v>
      </c>
      <c r="G301" s="7">
        <v>45664</v>
      </c>
      <c r="H301">
        <v>90</v>
      </c>
      <c r="I301">
        <v>0</v>
      </c>
      <c r="J301" t="s">
        <v>36</v>
      </c>
      <c r="K301" t="s">
        <v>66</v>
      </c>
      <c r="L301" t="s">
        <v>37</v>
      </c>
      <c r="M301">
        <v>3</v>
      </c>
      <c r="N301" t="s">
        <v>27</v>
      </c>
      <c r="O301" t="str">
        <f t="shared" si="16"/>
        <v>2025-01</v>
      </c>
      <c r="P301" t="str">
        <f t="shared" si="17"/>
        <v>High</v>
      </c>
      <c r="Q301" t="str">
        <f t="shared" si="18"/>
        <v>No</v>
      </c>
      <c r="R301" s="10">
        <f t="shared" si="19"/>
        <v>0</v>
      </c>
    </row>
    <row r="302" spans="1:18">
      <c r="A302" t="s">
        <v>469</v>
      </c>
      <c r="B302" t="s">
        <v>470</v>
      </c>
      <c r="C302" t="s">
        <v>471</v>
      </c>
      <c r="D302" t="s">
        <v>49</v>
      </c>
      <c r="E302" t="s">
        <v>22</v>
      </c>
      <c r="F302" t="s">
        <v>23</v>
      </c>
      <c r="G302" s="7">
        <v>45708</v>
      </c>
      <c r="H302">
        <v>70</v>
      </c>
      <c r="I302">
        <v>19.62</v>
      </c>
      <c r="J302" t="s">
        <v>129</v>
      </c>
      <c r="K302" t="s">
        <v>25</v>
      </c>
      <c r="L302" t="s">
        <v>26</v>
      </c>
      <c r="M302">
        <v>47</v>
      </c>
      <c r="N302" t="s">
        <v>27</v>
      </c>
      <c r="O302" t="str">
        <f t="shared" si="16"/>
        <v>2025-02</v>
      </c>
      <c r="P302" t="str">
        <f t="shared" si="17"/>
        <v>High</v>
      </c>
      <c r="Q302" t="str">
        <f t="shared" si="18"/>
        <v>Yes</v>
      </c>
      <c r="R302" s="10">
        <f t="shared" si="19"/>
        <v>0</v>
      </c>
    </row>
    <row r="303" spans="1:18">
      <c r="A303" t="s">
        <v>742</v>
      </c>
      <c r="B303" t="s">
        <v>743</v>
      </c>
      <c r="C303" t="s">
        <v>744</v>
      </c>
      <c r="D303" t="s">
        <v>41</v>
      </c>
      <c r="E303" t="s">
        <v>22</v>
      </c>
      <c r="F303" t="s">
        <v>58</v>
      </c>
      <c r="G303" s="7">
        <v>45748</v>
      </c>
      <c r="H303">
        <v>93</v>
      </c>
      <c r="I303">
        <v>0</v>
      </c>
      <c r="J303" t="s">
        <v>36</v>
      </c>
      <c r="K303" t="s">
        <v>25</v>
      </c>
      <c r="L303" t="s">
        <v>37</v>
      </c>
      <c r="M303">
        <v>47</v>
      </c>
      <c r="N303" t="s">
        <v>27</v>
      </c>
      <c r="O303" t="str">
        <f t="shared" si="16"/>
        <v>2025-04</v>
      </c>
      <c r="P303" t="str">
        <f t="shared" si="17"/>
        <v>High</v>
      </c>
      <c r="Q303" t="str">
        <f t="shared" si="18"/>
        <v>No</v>
      </c>
      <c r="R303" s="10">
        <f t="shared" si="19"/>
        <v>0</v>
      </c>
    </row>
    <row r="304" spans="1:18">
      <c r="A304" t="s">
        <v>946</v>
      </c>
      <c r="B304" t="s">
        <v>947</v>
      </c>
      <c r="C304" t="s">
        <v>948</v>
      </c>
      <c r="D304" t="s">
        <v>57</v>
      </c>
      <c r="E304" t="s">
        <v>34</v>
      </c>
      <c r="F304" t="s">
        <v>35</v>
      </c>
      <c r="G304" s="7">
        <v>45801</v>
      </c>
      <c r="H304">
        <v>155</v>
      </c>
      <c r="I304">
        <v>31.24</v>
      </c>
      <c r="J304" t="s">
        <v>44</v>
      </c>
      <c r="K304" t="s">
        <v>25</v>
      </c>
      <c r="L304" t="s">
        <v>26</v>
      </c>
      <c r="M304">
        <v>33</v>
      </c>
      <c r="N304" t="s">
        <v>30</v>
      </c>
      <c r="O304" t="str">
        <f t="shared" si="16"/>
        <v>2025-05</v>
      </c>
      <c r="P304" t="str">
        <f t="shared" si="17"/>
        <v>High</v>
      </c>
      <c r="Q304" t="str">
        <f t="shared" si="18"/>
        <v>Yes</v>
      </c>
      <c r="R304" s="10">
        <f t="shared" si="19"/>
        <v>1</v>
      </c>
    </row>
    <row r="305" spans="1:18">
      <c r="A305" t="s">
        <v>949</v>
      </c>
      <c r="B305" t="s">
        <v>950</v>
      </c>
      <c r="C305" t="s">
        <v>951</v>
      </c>
      <c r="D305" t="s">
        <v>41</v>
      </c>
      <c r="E305" t="s">
        <v>22</v>
      </c>
      <c r="F305" t="s">
        <v>58</v>
      </c>
      <c r="G305" s="7">
        <v>45785</v>
      </c>
      <c r="H305">
        <v>122</v>
      </c>
      <c r="I305">
        <v>40.31</v>
      </c>
      <c r="J305" t="s">
        <v>44</v>
      </c>
      <c r="K305" t="s">
        <v>25</v>
      </c>
      <c r="L305" t="s">
        <v>26</v>
      </c>
      <c r="M305">
        <v>33</v>
      </c>
      <c r="N305" t="s">
        <v>30</v>
      </c>
      <c r="O305" t="str">
        <f t="shared" si="16"/>
        <v>2025-05</v>
      </c>
      <c r="P305" t="str">
        <f t="shared" si="17"/>
        <v>High</v>
      </c>
      <c r="Q305" t="str">
        <f t="shared" si="18"/>
        <v>Yes</v>
      </c>
      <c r="R305" s="10">
        <f t="shared" si="19"/>
        <v>1</v>
      </c>
    </row>
    <row r="306" spans="1:18">
      <c r="A306" t="s">
        <v>593</v>
      </c>
      <c r="B306" t="s">
        <v>594</v>
      </c>
      <c r="C306" t="s">
        <v>595</v>
      </c>
      <c r="D306" t="s">
        <v>49</v>
      </c>
      <c r="E306" t="s">
        <v>42</v>
      </c>
      <c r="F306" t="s">
        <v>58</v>
      </c>
      <c r="G306" s="7">
        <v>45719</v>
      </c>
      <c r="H306">
        <v>62</v>
      </c>
      <c r="I306">
        <v>0</v>
      </c>
      <c r="J306" t="s">
        <v>36</v>
      </c>
      <c r="K306" t="s">
        <v>53</v>
      </c>
      <c r="L306" t="s">
        <v>37</v>
      </c>
      <c r="M306">
        <v>19</v>
      </c>
      <c r="N306" t="s">
        <v>27</v>
      </c>
      <c r="O306" t="str">
        <f t="shared" si="16"/>
        <v>2025-03</v>
      </c>
      <c r="P306" t="str">
        <f t="shared" si="17"/>
        <v>High</v>
      </c>
      <c r="Q306" t="str">
        <f t="shared" si="18"/>
        <v>No</v>
      </c>
      <c r="R306" s="10">
        <f t="shared" si="19"/>
        <v>0</v>
      </c>
    </row>
    <row r="307" spans="1:18">
      <c r="A307" t="s">
        <v>1338</v>
      </c>
      <c r="B307" t="s">
        <v>1339</v>
      </c>
      <c r="C307" t="s">
        <v>1340</v>
      </c>
      <c r="D307" t="s">
        <v>49</v>
      </c>
      <c r="E307" t="s">
        <v>34</v>
      </c>
      <c r="F307" t="s">
        <v>35</v>
      </c>
      <c r="G307" s="7">
        <v>45794</v>
      </c>
      <c r="H307">
        <v>31</v>
      </c>
      <c r="I307">
        <v>0</v>
      </c>
      <c r="J307" t="s">
        <v>36</v>
      </c>
      <c r="K307" t="s">
        <v>25</v>
      </c>
      <c r="L307" t="s">
        <v>37</v>
      </c>
      <c r="M307">
        <v>18</v>
      </c>
      <c r="N307" t="s">
        <v>27</v>
      </c>
      <c r="O307" t="str">
        <f t="shared" si="16"/>
        <v>2025-05</v>
      </c>
      <c r="P307" t="str">
        <f t="shared" si="17"/>
        <v>Medium</v>
      </c>
      <c r="Q307" t="str">
        <f t="shared" si="18"/>
        <v>No</v>
      </c>
      <c r="R307" s="10">
        <f t="shared" si="19"/>
        <v>0</v>
      </c>
    </row>
    <row r="308" spans="1:18">
      <c r="A308" t="s">
        <v>745</v>
      </c>
      <c r="B308" t="s">
        <v>746</v>
      </c>
      <c r="C308" t="s">
        <v>747</v>
      </c>
      <c r="D308" t="s">
        <v>57</v>
      </c>
      <c r="E308" t="s">
        <v>22</v>
      </c>
      <c r="F308" t="s">
        <v>43</v>
      </c>
      <c r="G308" s="7">
        <v>45759</v>
      </c>
      <c r="H308">
        <v>109</v>
      </c>
      <c r="I308">
        <v>0</v>
      </c>
      <c r="J308" t="s">
        <v>36</v>
      </c>
      <c r="K308" t="s">
        <v>25</v>
      </c>
      <c r="L308" t="s">
        <v>37</v>
      </c>
      <c r="M308">
        <v>40</v>
      </c>
      <c r="N308" t="s">
        <v>27</v>
      </c>
      <c r="O308" t="str">
        <f t="shared" si="16"/>
        <v>2025-04</v>
      </c>
      <c r="P308" t="str">
        <f t="shared" si="17"/>
        <v>High</v>
      </c>
      <c r="Q308" t="str">
        <f t="shared" si="18"/>
        <v>No</v>
      </c>
      <c r="R308" s="10">
        <f t="shared" si="19"/>
        <v>0</v>
      </c>
    </row>
    <row r="309" spans="1:18">
      <c r="A309" t="s">
        <v>472</v>
      </c>
      <c r="B309" t="s">
        <v>473</v>
      </c>
      <c r="C309" t="s">
        <v>474</v>
      </c>
      <c r="D309" t="s">
        <v>62</v>
      </c>
      <c r="E309" t="s">
        <v>42</v>
      </c>
      <c r="F309" t="s">
        <v>35</v>
      </c>
      <c r="G309" s="7">
        <v>45708</v>
      </c>
      <c r="H309">
        <v>178</v>
      </c>
      <c r="I309">
        <v>38.369999999999997</v>
      </c>
      <c r="J309" t="s">
        <v>44</v>
      </c>
      <c r="K309" t="s">
        <v>25</v>
      </c>
      <c r="L309" t="s">
        <v>26</v>
      </c>
      <c r="M309">
        <v>32</v>
      </c>
      <c r="N309" t="s">
        <v>30</v>
      </c>
      <c r="O309" t="str">
        <f t="shared" si="16"/>
        <v>2025-02</v>
      </c>
      <c r="P309" t="str">
        <f t="shared" si="17"/>
        <v>High</v>
      </c>
      <c r="Q309" t="str">
        <f t="shared" si="18"/>
        <v>Yes</v>
      </c>
      <c r="R309" s="10">
        <f t="shared" si="19"/>
        <v>1</v>
      </c>
    </row>
    <row r="310" spans="1:18">
      <c r="A310" t="s">
        <v>1341</v>
      </c>
      <c r="B310" t="s">
        <v>1342</v>
      </c>
      <c r="C310" t="s">
        <v>1343</v>
      </c>
      <c r="D310" t="s">
        <v>57</v>
      </c>
      <c r="E310" t="s">
        <v>22</v>
      </c>
      <c r="F310" t="s">
        <v>43</v>
      </c>
      <c r="G310" s="7">
        <v>45666</v>
      </c>
      <c r="H310">
        <v>34</v>
      </c>
      <c r="I310">
        <v>0</v>
      </c>
      <c r="J310" t="s">
        <v>36</v>
      </c>
      <c r="K310" t="s">
        <v>25</v>
      </c>
      <c r="L310" t="s">
        <v>37</v>
      </c>
      <c r="M310">
        <v>12</v>
      </c>
      <c r="N310" t="s">
        <v>27</v>
      </c>
      <c r="O310" t="str">
        <f t="shared" si="16"/>
        <v>2025-01</v>
      </c>
      <c r="P310" t="str">
        <f t="shared" si="17"/>
        <v>Medium</v>
      </c>
      <c r="Q310" t="str">
        <f t="shared" si="18"/>
        <v>No</v>
      </c>
      <c r="R310" s="10">
        <f t="shared" si="19"/>
        <v>0</v>
      </c>
    </row>
    <row r="311" spans="1:18">
      <c r="A311" t="s">
        <v>1021</v>
      </c>
      <c r="B311" t="s">
        <v>1022</v>
      </c>
      <c r="C311" t="s">
        <v>1023</v>
      </c>
      <c r="D311" t="s">
        <v>41</v>
      </c>
      <c r="E311" t="s">
        <v>42</v>
      </c>
      <c r="F311" t="s">
        <v>35</v>
      </c>
      <c r="G311" s="7">
        <v>45812</v>
      </c>
      <c r="H311">
        <v>139</v>
      </c>
      <c r="I311">
        <v>0</v>
      </c>
      <c r="J311" t="s">
        <v>36</v>
      </c>
      <c r="K311" t="s">
        <v>25</v>
      </c>
      <c r="L311" t="s">
        <v>37</v>
      </c>
      <c r="M311">
        <v>1</v>
      </c>
      <c r="N311" t="s">
        <v>27</v>
      </c>
      <c r="O311" t="str">
        <f t="shared" si="16"/>
        <v>2025-06</v>
      </c>
      <c r="P311" t="str">
        <f t="shared" si="17"/>
        <v>High</v>
      </c>
      <c r="Q311" t="str">
        <f t="shared" si="18"/>
        <v>No</v>
      </c>
      <c r="R311" s="10">
        <f t="shared" si="19"/>
        <v>0</v>
      </c>
    </row>
    <row r="312" spans="1:18">
      <c r="A312" t="s">
        <v>330</v>
      </c>
      <c r="B312" t="s">
        <v>331</v>
      </c>
      <c r="C312" t="s">
        <v>332</v>
      </c>
      <c r="D312" t="s">
        <v>57</v>
      </c>
      <c r="E312" t="s">
        <v>22</v>
      </c>
      <c r="F312" t="s">
        <v>43</v>
      </c>
      <c r="G312" s="7">
        <v>45682</v>
      </c>
      <c r="H312">
        <v>81</v>
      </c>
      <c r="I312">
        <v>0</v>
      </c>
      <c r="J312" t="s">
        <v>36</v>
      </c>
      <c r="K312" t="s">
        <v>53</v>
      </c>
      <c r="L312" t="s">
        <v>37</v>
      </c>
      <c r="M312">
        <v>21</v>
      </c>
      <c r="N312" t="s">
        <v>27</v>
      </c>
      <c r="O312" t="str">
        <f t="shared" si="16"/>
        <v>2025-01</v>
      </c>
      <c r="P312" t="str">
        <f t="shared" si="17"/>
        <v>High</v>
      </c>
      <c r="Q312" t="str">
        <f t="shared" si="18"/>
        <v>No</v>
      </c>
      <c r="R312" s="10">
        <f t="shared" si="19"/>
        <v>0</v>
      </c>
    </row>
    <row r="313" spans="1:18">
      <c r="A313" t="s">
        <v>1344</v>
      </c>
      <c r="B313" t="s">
        <v>1345</v>
      </c>
      <c r="C313" t="s">
        <v>1346</v>
      </c>
      <c r="D313" t="s">
        <v>57</v>
      </c>
      <c r="E313" t="s">
        <v>22</v>
      </c>
      <c r="F313" t="s">
        <v>80</v>
      </c>
      <c r="G313" s="7">
        <v>45647</v>
      </c>
      <c r="H313">
        <v>13</v>
      </c>
      <c r="I313">
        <v>0</v>
      </c>
      <c r="J313" t="s">
        <v>36</v>
      </c>
      <c r="K313" t="s">
        <v>25</v>
      </c>
      <c r="L313" t="s">
        <v>37</v>
      </c>
      <c r="M313">
        <v>12</v>
      </c>
      <c r="N313" t="s">
        <v>27</v>
      </c>
      <c r="O313" t="str">
        <f t="shared" si="16"/>
        <v>2024-12</v>
      </c>
      <c r="P313" t="str">
        <f t="shared" si="17"/>
        <v>Low</v>
      </c>
      <c r="Q313" t="str">
        <f t="shared" si="18"/>
        <v>No</v>
      </c>
      <c r="R313" s="10">
        <f t="shared" si="19"/>
        <v>0</v>
      </c>
    </row>
    <row r="314" spans="1:18">
      <c r="A314" t="s">
        <v>333</v>
      </c>
      <c r="B314" t="s">
        <v>334</v>
      </c>
      <c r="C314" t="s">
        <v>335</v>
      </c>
      <c r="D314" t="s">
        <v>57</v>
      </c>
      <c r="E314" t="s">
        <v>34</v>
      </c>
      <c r="F314" t="s">
        <v>73</v>
      </c>
      <c r="G314" s="7">
        <v>45664</v>
      </c>
      <c r="H314">
        <v>85</v>
      </c>
      <c r="I314">
        <v>0</v>
      </c>
      <c r="J314" t="s">
        <v>36</v>
      </c>
      <c r="K314" t="s">
        <v>25</v>
      </c>
      <c r="L314" t="s">
        <v>37</v>
      </c>
      <c r="M314">
        <v>28</v>
      </c>
      <c r="N314" t="s">
        <v>27</v>
      </c>
      <c r="O314" t="str">
        <f t="shared" si="16"/>
        <v>2025-01</v>
      </c>
      <c r="P314" t="str">
        <f t="shared" si="17"/>
        <v>High</v>
      </c>
      <c r="Q314" t="str">
        <f t="shared" si="18"/>
        <v>No</v>
      </c>
      <c r="R314" s="10">
        <f t="shared" si="19"/>
        <v>0</v>
      </c>
    </row>
    <row r="315" spans="1:18">
      <c r="A315" t="s">
        <v>599</v>
      </c>
      <c r="B315" t="s">
        <v>600</v>
      </c>
      <c r="C315" t="s">
        <v>601</v>
      </c>
      <c r="D315" t="s">
        <v>62</v>
      </c>
      <c r="E315" t="s">
        <v>42</v>
      </c>
      <c r="F315" t="s">
        <v>80</v>
      </c>
      <c r="G315" s="7">
        <v>45727</v>
      </c>
      <c r="H315">
        <v>158</v>
      </c>
      <c r="I315">
        <v>0</v>
      </c>
      <c r="J315" t="s">
        <v>36</v>
      </c>
      <c r="K315" t="s">
        <v>45</v>
      </c>
      <c r="L315" t="s">
        <v>37</v>
      </c>
      <c r="M315">
        <v>22</v>
      </c>
      <c r="N315" t="s">
        <v>30</v>
      </c>
      <c r="O315" t="str">
        <f t="shared" si="16"/>
        <v>2025-03</v>
      </c>
      <c r="P315" t="str">
        <f t="shared" si="17"/>
        <v>High</v>
      </c>
      <c r="Q315" t="str">
        <f t="shared" si="18"/>
        <v>No</v>
      </c>
      <c r="R315" s="10">
        <f t="shared" si="19"/>
        <v>1</v>
      </c>
    </row>
    <row r="316" spans="1:18">
      <c r="A316" t="s">
        <v>748</v>
      </c>
      <c r="B316" t="s">
        <v>749</v>
      </c>
      <c r="C316" t="s">
        <v>750</v>
      </c>
      <c r="D316" t="s">
        <v>57</v>
      </c>
      <c r="E316" t="s">
        <v>42</v>
      </c>
      <c r="F316" t="s">
        <v>58</v>
      </c>
      <c r="G316" s="7">
        <v>45776</v>
      </c>
      <c r="H316">
        <v>140</v>
      </c>
      <c r="I316">
        <v>0</v>
      </c>
      <c r="J316" t="s">
        <v>36</v>
      </c>
      <c r="K316" t="s">
        <v>25</v>
      </c>
      <c r="L316" t="s">
        <v>37</v>
      </c>
      <c r="M316">
        <v>1</v>
      </c>
      <c r="N316" t="s">
        <v>27</v>
      </c>
      <c r="O316" t="str">
        <f t="shared" si="16"/>
        <v>2025-04</v>
      </c>
      <c r="P316" t="str">
        <f t="shared" si="17"/>
        <v>High</v>
      </c>
      <c r="Q316" t="str">
        <f t="shared" si="18"/>
        <v>No</v>
      </c>
      <c r="R316" s="10">
        <f t="shared" si="19"/>
        <v>0</v>
      </c>
    </row>
    <row r="317" spans="1:18">
      <c r="A317" t="s">
        <v>602</v>
      </c>
      <c r="B317" t="s">
        <v>603</v>
      </c>
      <c r="C317" t="s">
        <v>604</v>
      </c>
      <c r="D317" t="s">
        <v>41</v>
      </c>
      <c r="E317" t="s">
        <v>34</v>
      </c>
      <c r="F317" t="s">
        <v>73</v>
      </c>
      <c r="G317" s="7">
        <v>45747</v>
      </c>
      <c r="H317">
        <v>179</v>
      </c>
      <c r="I317">
        <v>0</v>
      </c>
      <c r="J317" t="s">
        <v>36</v>
      </c>
      <c r="K317" t="s">
        <v>25</v>
      </c>
      <c r="L317" t="s">
        <v>37</v>
      </c>
      <c r="M317">
        <v>5</v>
      </c>
      <c r="N317" t="s">
        <v>30</v>
      </c>
      <c r="O317" t="str">
        <f t="shared" si="16"/>
        <v>2025-03</v>
      </c>
      <c r="P317" t="str">
        <f t="shared" si="17"/>
        <v>High</v>
      </c>
      <c r="Q317" t="str">
        <f t="shared" si="18"/>
        <v>No</v>
      </c>
      <c r="R317" s="10">
        <f t="shared" si="19"/>
        <v>1</v>
      </c>
    </row>
    <row r="318" spans="1:18">
      <c r="A318" t="s">
        <v>336</v>
      </c>
      <c r="B318" t="s">
        <v>337</v>
      </c>
      <c r="C318" t="s">
        <v>338</v>
      </c>
      <c r="D318" t="s">
        <v>62</v>
      </c>
      <c r="E318" t="s">
        <v>34</v>
      </c>
      <c r="F318" t="s">
        <v>80</v>
      </c>
      <c r="G318" s="7">
        <v>45666</v>
      </c>
      <c r="H318">
        <v>73</v>
      </c>
      <c r="I318">
        <v>0</v>
      </c>
      <c r="J318" t="s">
        <v>36</v>
      </c>
      <c r="K318" t="s">
        <v>53</v>
      </c>
      <c r="L318" t="s">
        <v>37</v>
      </c>
      <c r="M318">
        <v>15</v>
      </c>
      <c r="N318" t="s">
        <v>27</v>
      </c>
      <c r="O318" t="str">
        <f t="shared" si="16"/>
        <v>2025-01</v>
      </c>
      <c r="P318" t="str">
        <f t="shared" si="17"/>
        <v>High</v>
      </c>
      <c r="Q318" t="str">
        <f t="shared" si="18"/>
        <v>No</v>
      </c>
      <c r="R318" s="10">
        <f t="shared" si="19"/>
        <v>0</v>
      </c>
    </row>
    <row r="319" spans="1:18">
      <c r="A319" t="s">
        <v>605</v>
      </c>
      <c r="B319" t="s">
        <v>606</v>
      </c>
      <c r="C319" t="s">
        <v>607</v>
      </c>
      <c r="D319" t="s">
        <v>49</v>
      </c>
      <c r="E319" t="s">
        <v>34</v>
      </c>
      <c r="F319" t="s">
        <v>35</v>
      </c>
      <c r="G319" s="7">
        <v>45747</v>
      </c>
      <c r="H319">
        <v>83</v>
      </c>
      <c r="I319">
        <v>0</v>
      </c>
      <c r="J319" t="s">
        <v>36</v>
      </c>
      <c r="K319" t="s">
        <v>25</v>
      </c>
      <c r="L319" t="s">
        <v>37</v>
      </c>
      <c r="M319">
        <v>1</v>
      </c>
      <c r="N319" t="s">
        <v>27</v>
      </c>
      <c r="O319" t="str">
        <f t="shared" si="16"/>
        <v>2025-03</v>
      </c>
      <c r="P319" t="str">
        <f t="shared" si="17"/>
        <v>High</v>
      </c>
      <c r="Q319" t="str">
        <f t="shared" si="18"/>
        <v>No</v>
      </c>
      <c r="R319" s="10">
        <f t="shared" si="19"/>
        <v>0</v>
      </c>
    </row>
    <row r="320" spans="1:18">
      <c r="A320" t="s">
        <v>339</v>
      </c>
      <c r="B320" t="s">
        <v>340</v>
      </c>
      <c r="C320" t="s">
        <v>341</v>
      </c>
      <c r="D320" t="s">
        <v>21</v>
      </c>
      <c r="E320" t="s">
        <v>34</v>
      </c>
      <c r="F320" t="s">
        <v>58</v>
      </c>
      <c r="G320" s="7">
        <v>45678</v>
      </c>
      <c r="H320">
        <v>152</v>
      </c>
      <c r="I320">
        <v>0</v>
      </c>
      <c r="J320" t="s">
        <v>36</v>
      </c>
      <c r="K320" t="s">
        <v>25</v>
      </c>
      <c r="L320" t="s">
        <v>37</v>
      </c>
      <c r="M320">
        <v>31</v>
      </c>
      <c r="N320" t="s">
        <v>30</v>
      </c>
      <c r="O320" t="str">
        <f t="shared" si="16"/>
        <v>2025-01</v>
      </c>
      <c r="P320" t="str">
        <f t="shared" si="17"/>
        <v>High</v>
      </c>
      <c r="Q320" t="str">
        <f t="shared" si="18"/>
        <v>No</v>
      </c>
      <c r="R320" s="10">
        <f t="shared" si="19"/>
        <v>1</v>
      </c>
    </row>
    <row r="321" spans="1:18">
      <c r="A321" t="s">
        <v>342</v>
      </c>
      <c r="B321" t="s">
        <v>343</v>
      </c>
      <c r="C321" t="s">
        <v>344</v>
      </c>
      <c r="D321" t="s">
        <v>57</v>
      </c>
      <c r="E321" t="s">
        <v>34</v>
      </c>
      <c r="F321" t="s">
        <v>23</v>
      </c>
      <c r="G321" s="7">
        <v>45688</v>
      </c>
      <c r="H321">
        <v>156</v>
      </c>
      <c r="I321">
        <v>0</v>
      </c>
      <c r="J321" t="s">
        <v>36</v>
      </c>
      <c r="K321" t="s">
        <v>45</v>
      </c>
      <c r="L321" t="s">
        <v>37</v>
      </c>
      <c r="M321">
        <v>14</v>
      </c>
      <c r="N321" t="s">
        <v>30</v>
      </c>
      <c r="O321" t="str">
        <f t="shared" si="16"/>
        <v>2025-01</v>
      </c>
      <c r="P321" t="str">
        <f t="shared" si="17"/>
        <v>High</v>
      </c>
      <c r="Q321" t="str">
        <f t="shared" si="18"/>
        <v>No</v>
      </c>
      <c r="R321" s="10">
        <f t="shared" si="19"/>
        <v>1</v>
      </c>
    </row>
    <row r="322" spans="1:18">
      <c r="A322" t="s">
        <v>1347</v>
      </c>
      <c r="B322" t="s">
        <v>1348</v>
      </c>
      <c r="C322" t="s">
        <v>1349</v>
      </c>
      <c r="D322" t="s">
        <v>21</v>
      </c>
      <c r="E322" t="s">
        <v>22</v>
      </c>
      <c r="F322" t="s">
        <v>73</v>
      </c>
      <c r="G322" s="7">
        <v>45788</v>
      </c>
      <c r="H322">
        <v>33</v>
      </c>
      <c r="I322">
        <v>0</v>
      </c>
      <c r="J322" t="s">
        <v>36</v>
      </c>
      <c r="K322" t="s">
        <v>45</v>
      </c>
      <c r="L322" t="s">
        <v>37</v>
      </c>
      <c r="M322">
        <v>7</v>
      </c>
      <c r="N322" t="s">
        <v>27</v>
      </c>
      <c r="O322" t="str">
        <f t="shared" si="16"/>
        <v>2025-05</v>
      </c>
      <c r="P322" t="str">
        <f t="shared" si="17"/>
        <v>Medium</v>
      </c>
      <c r="Q322" t="str">
        <f t="shared" si="18"/>
        <v>No</v>
      </c>
      <c r="R322" s="10">
        <f t="shared" si="19"/>
        <v>0</v>
      </c>
    </row>
    <row r="323" spans="1:18">
      <c r="A323" t="s">
        <v>345</v>
      </c>
      <c r="B323" t="s">
        <v>346</v>
      </c>
      <c r="C323" t="s">
        <v>347</v>
      </c>
      <c r="D323" t="s">
        <v>57</v>
      </c>
      <c r="E323" t="s">
        <v>34</v>
      </c>
      <c r="F323" t="s">
        <v>80</v>
      </c>
      <c r="G323" s="7">
        <v>45678</v>
      </c>
      <c r="H323">
        <v>128</v>
      </c>
      <c r="I323">
        <v>0</v>
      </c>
      <c r="J323" t="s">
        <v>36</v>
      </c>
      <c r="K323" t="s">
        <v>25</v>
      </c>
      <c r="L323" t="s">
        <v>37</v>
      </c>
      <c r="M323">
        <v>35</v>
      </c>
      <c r="N323" t="s">
        <v>27</v>
      </c>
      <c r="O323" t="str">
        <f t="shared" ref="O323:O386" si="20">TEXT(G323,"yyyy-mm")</f>
        <v>2025-01</v>
      </c>
      <c r="P323" t="str">
        <f t="shared" ref="P323:P386" si="21">IF(H323&lt;20,"Low",IF(H323&lt;=60,"Medium","High"))</f>
        <v>High</v>
      </c>
      <c r="Q323" t="str">
        <f t="shared" ref="Q323:Q386" si="22">IF(I323&gt;0,"Yes","No")</f>
        <v>No</v>
      </c>
      <c r="R323" s="10">
        <f t="shared" ref="R323:R386" si="23">IF(N323="Yes",1,0)</f>
        <v>0</v>
      </c>
    </row>
    <row r="324" spans="1:18">
      <c r="A324" t="s">
        <v>1350</v>
      </c>
      <c r="B324" t="s">
        <v>1351</v>
      </c>
      <c r="C324" t="s">
        <v>1352</v>
      </c>
      <c r="D324" t="s">
        <v>57</v>
      </c>
      <c r="E324" t="s">
        <v>22</v>
      </c>
      <c r="F324" t="s">
        <v>80</v>
      </c>
      <c r="G324" s="7">
        <v>45694</v>
      </c>
      <c r="H324">
        <v>58</v>
      </c>
      <c r="I324">
        <v>0</v>
      </c>
      <c r="J324" t="s">
        <v>36</v>
      </c>
      <c r="K324" t="s">
        <v>53</v>
      </c>
      <c r="L324" t="s">
        <v>37</v>
      </c>
      <c r="M324">
        <v>15</v>
      </c>
      <c r="N324" t="s">
        <v>27</v>
      </c>
      <c r="O324" t="str">
        <f t="shared" si="20"/>
        <v>2025-02</v>
      </c>
      <c r="P324" t="str">
        <f t="shared" si="21"/>
        <v>Medium</v>
      </c>
      <c r="Q324" t="str">
        <f t="shared" si="22"/>
        <v>No</v>
      </c>
      <c r="R324" s="10">
        <f t="shared" si="23"/>
        <v>0</v>
      </c>
    </row>
    <row r="325" spans="1:18">
      <c r="A325" t="s">
        <v>145</v>
      </c>
      <c r="B325" t="s">
        <v>146</v>
      </c>
      <c r="C325" t="s">
        <v>147</v>
      </c>
      <c r="D325" t="s">
        <v>62</v>
      </c>
      <c r="E325" t="s">
        <v>22</v>
      </c>
      <c r="F325" t="s">
        <v>80</v>
      </c>
      <c r="G325" s="7">
        <v>45647</v>
      </c>
      <c r="H325">
        <v>77</v>
      </c>
      <c r="I325">
        <v>0</v>
      </c>
      <c r="J325" t="s">
        <v>36</v>
      </c>
      <c r="K325" t="s">
        <v>25</v>
      </c>
      <c r="L325" t="s">
        <v>37</v>
      </c>
      <c r="M325">
        <v>11</v>
      </c>
      <c r="N325" t="s">
        <v>27</v>
      </c>
      <c r="O325" t="str">
        <f t="shared" si="20"/>
        <v>2024-12</v>
      </c>
      <c r="P325" t="str">
        <f t="shared" si="21"/>
        <v>High</v>
      </c>
      <c r="Q325" t="str">
        <f t="shared" si="22"/>
        <v>No</v>
      </c>
      <c r="R325" s="10">
        <f t="shared" si="23"/>
        <v>0</v>
      </c>
    </row>
    <row r="326" spans="1:18">
      <c r="A326" t="s">
        <v>148</v>
      </c>
      <c r="B326" t="s">
        <v>149</v>
      </c>
      <c r="C326" t="s">
        <v>150</v>
      </c>
      <c r="D326" t="s">
        <v>41</v>
      </c>
      <c r="E326" t="s">
        <v>42</v>
      </c>
      <c r="F326" t="s">
        <v>80</v>
      </c>
      <c r="G326" s="7">
        <v>45641</v>
      </c>
      <c r="H326">
        <v>175</v>
      </c>
      <c r="I326">
        <v>0</v>
      </c>
      <c r="J326" t="s">
        <v>36</v>
      </c>
      <c r="K326" t="s">
        <v>45</v>
      </c>
      <c r="L326" t="s">
        <v>26</v>
      </c>
      <c r="M326">
        <v>10</v>
      </c>
      <c r="N326" t="s">
        <v>30</v>
      </c>
      <c r="O326" t="str">
        <f t="shared" si="20"/>
        <v>2024-12</v>
      </c>
      <c r="P326" t="str">
        <f t="shared" si="21"/>
        <v>High</v>
      </c>
      <c r="Q326" t="str">
        <f t="shared" si="22"/>
        <v>No</v>
      </c>
      <c r="R326" s="10">
        <f t="shared" si="23"/>
        <v>1</v>
      </c>
    </row>
    <row r="327" spans="1:18">
      <c r="A327" t="s">
        <v>608</v>
      </c>
      <c r="B327" t="s">
        <v>609</v>
      </c>
      <c r="C327" t="s">
        <v>610</v>
      </c>
      <c r="D327" t="s">
        <v>41</v>
      </c>
      <c r="E327" t="s">
        <v>34</v>
      </c>
      <c r="F327" t="s">
        <v>58</v>
      </c>
      <c r="G327" s="7">
        <v>45727</v>
      </c>
      <c r="H327">
        <v>90</v>
      </c>
      <c r="I327">
        <v>0</v>
      </c>
      <c r="J327" t="s">
        <v>36</v>
      </c>
      <c r="K327" t="s">
        <v>25</v>
      </c>
      <c r="L327" t="s">
        <v>37</v>
      </c>
      <c r="M327">
        <v>50</v>
      </c>
      <c r="N327" t="s">
        <v>27</v>
      </c>
      <c r="O327" t="str">
        <f t="shared" si="20"/>
        <v>2025-03</v>
      </c>
      <c r="P327" t="str">
        <f t="shared" si="21"/>
        <v>High</v>
      </c>
      <c r="Q327" t="str">
        <f t="shared" si="22"/>
        <v>No</v>
      </c>
      <c r="R327" s="10">
        <f t="shared" si="23"/>
        <v>0</v>
      </c>
    </row>
    <row r="328" spans="1:18">
      <c r="A328" t="s">
        <v>958</v>
      </c>
      <c r="B328" t="s">
        <v>959</v>
      </c>
      <c r="C328" t="s">
        <v>960</v>
      </c>
      <c r="D328" t="s">
        <v>49</v>
      </c>
      <c r="E328" t="s">
        <v>22</v>
      </c>
      <c r="F328" t="s">
        <v>23</v>
      </c>
      <c r="G328" s="7">
        <v>45793</v>
      </c>
      <c r="H328">
        <v>142</v>
      </c>
      <c r="I328">
        <v>0</v>
      </c>
      <c r="J328" t="s">
        <v>36</v>
      </c>
      <c r="K328" t="s">
        <v>53</v>
      </c>
      <c r="L328" t="s">
        <v>37</v>
      </c>
      <c r="M328">
        <v>49</v>
      </c>
      <c r="N328" t="s">
        <v>27</v>
      </c>
      <c r="O328" t="str">
        <f t="shared" si="20"/>
        <v>2025-05</v>
      </c>
      <c r="P328" t="str">
        <f t="shared" si="21"/>
        <v>High</v>
      </c>
      <c r="Q328" t="str">
        <f t="shared" si="22"/>
        <v>No</v>
      </c>
      <c r="R328" s="10">
        <f t="shared" si="23"/>
        <v>0</v>
      </c>
    </row>
    <row r="329" spans="1:18">
      <c r="A329" t="s">
        <v>955</v>
      </c>
      <c r="B329" t="s">
        <v>956</v>
      </c>
      <c r="C329" t="s">
        <v>957</v>
      </c>
      <c r="D329" t="s">
        <v>21</v>
      </c>
      <c r="E329" t="s">
        <v>34</v>
      </c>
      <c r="F329" t="s">
        <v>73</v>
      </c>
      <c r="G329" s="7">
        <v>45801</v>
      </c>
      <c r="H329">
        <v>102</v>
      </c>
      <c r="I329">
        <v>0</v>
      </c>
      <c r="J329" t="s">
        <v>36</v>
      </c>
      <c r="K329" t="s">
        <v>25</v>
      </c>
      <c r="L329" t="s">
        <v>26</v>
      </c>
      <c r="M329">
        <v>44</v>
      </c>
      <c r="N329" t="s">
        <v>27</v>
      </c>
      <c r="O329" t="str">
        <f t="shared" si="20"/>
        <v>2025-05</v>
      </c>
      <c r="P329" t="str">
        <f t="shared" si="21"/>
        <v>High</v>
      </c>
      <c r="Q329" t="str">
        <f t="shared" si="22"/>
        <v>No</v>
      </c>
      <c r="R329" s="10">
        <f t="shared" si="23"/>
        <v>0</v>
      </c>
    </row>
    <row r="330" spans="1:18">
      <c r="A330" t="s">
        <v>1353</v>
      </c>
      <c r="B330" t="s">
        <v>1354</v>
      </c>
      <c r="C330" t="s">
        <v>1355</v>
      </c>
      <c r="D330" t="s">
        <v>57</v>
      </c>
      <c r="E330" t="s">
        <v>22</v>
      </c>
      <c r="F330" t="s">
        <v>58</v>
      </c>
      <c r="G330" s="7">
        <v>45737</v>
      </c>
      <c r="H330">
        <v>47</v>
      </c>
      <c r="I330">
        <v>0</v>
      </c>
      <c r="J330" t="s">
        <v>36</v>
      </c>
      <c r="K330" t="s">
        <v>25</v>
      </c>
      <c r="L330" t="s">
        <v>26</v>
      </c>
      <c r="M330">
        <v>49</v>
      </c>
      <c r="N330" t="s">
        <v>27</v>
      </c>
      <c r="O330" t="str">
        <f t="shared" si="20"/>
        <v>2025-03</v>
      </c>
      <c r="P330" t="str">
        <f t="shared" si="21"/>
        <v>Medium</v>
      </c>
      <c r="Q330" t="str">
        <f t="shared" si="22"/>
        <v>No</v>
      </c>
      <c r="R330" s="10">
        <f t="shared" si="23"/>
        <v>0</v>
      </c>
    </row>
    <row r="331" spans="1:18">
      <c r="A331" t="s">
        <v>952</v>
      </c>
      <c r="B331" t="s">
        <v>953</v>
      </c>
      <c r="C331" t="s">
        <v>954</v>
      </c>
      <c r="D331" t="s">
        <v>57</v>
      </c>
      <c r="E331" t="s">
        <v>42</v>
      </c>
      <c r="F331" t="s">
        <v>23</v>
      </c>
      <c r="G331" s="7">
        <v>45799</v>
      </c>
      <c r="H331">
        <v>100</v>
      </c>
      <c r="I331">
        <v>0</v>
      </c>
      <c r="J331" t="s">
        <v>36</v>
      </c>
      <c r="K331" t="s">
        <v>25</v>
      </c>
      <c r="L331" t="s">
        <v>37</v>
      </c>
      <c r="M331">
        <v>25</v>
      </c>
      <c r="N331" t="s">
        <v>27</v>
      </c>
      <c r="O331" t="str">
        <f t="shared" si="20"/>
        <v>2025-05</v>
      </c>
      <c r="P331" t="str">
        <f t="shared" si="21"/>
        <v>High</v>
      </c>
      <c r="Q331" t="str">
        <f t="shared" si="22"/>
        <v>No</v>
      </c>
      <c r="R331" s="10">
        <f t="shared" si="23"/>
        <v>0</v>
      </c>
    </row>
    <row r="332" spans="1:18">
      <c r="A332" t="s">
        <v>1356</v>
      </c>
      <c r="B332" t="s">
        <v>1357</v>
      </c>
      <c r="C332" t="s">
        <v>1358</v>
      </c>
      <c r="D332" t="s">
        <v>57</v>
      </c>
      <c r="E332" t="s">
        <v>34</v>
      </c>
      <c r="F332" t="s">
        <v>80</v>
      </c>
      <c r="G332" s="7">
        <v>45702</v>
      </c>
      <c r="H332">
        <v>30</v>
      </c>
      <c r="I332">
        <v>36.799999999999997</v>
      </c>
      <c r="J332" t="s">
        <v>129</v>
      </c>
      <c r="K332" t="s">
        <v>66</v>
      </c>
      <c r="L332" t="s">
        <v>26</v>
      </c>
      <c r="M332">
        <v>24</v>
      </c>
      <c r="N332" t="s">
        <v>27</v>
      </c>
      <c r="O332" t="str">
        <f t="shared" si="20"/>
        <v>2025-02</v>
      </c>
      <c r="P332" t="str">
        <f t="shared" si="21"/>
        <v>Medium</v>
      </c>
      <c r="Q332" t="str">
        <f t="shared" si="22"/>
        <v>Yes</v>
      </c>
      <c r="R332" s="10">
        <f t="shared" si="23"/>
        <v>0</v>
      </c>
    </row>
    <row r="333" spans="1:18">
      <c r="A333" t="s">
        <v>596</v>
      </c>
      <c r="B333" t="s">
        <v>597</v>
      </c>
      <c r="C333" t="s">
        <v>598</v>
      </c>
      <c r="D333" t="s">
        <v>62</v>
      </c>
      <c r="E333" t="s">
        <v>42</v>
      </c>
      <c r="F333" t="s">
        <v>35</v>
      </c>
      <c r="G333" s="7">
        <v>45734</v>
      </c>
      <c r="H333">
        <v>180</v>
      </c>
      <c r="I333">
        <v>0</v>
      </c>
      <c r="J333" t="s">
        <v>36</v>
      </c>
      <c r="K333" t="s">
        <v>25</v>
      </c>
      <c r="L333" t="s">
        <v>37</v>
      </c>
      <c r="M333">
        <v>18</v>
      </c>
      <c r="N333" t="s">
        <v>30</v>
      </c>
      <c r="O333" t="str">
        <f t="shared" si="20"/>
        <v>2025-03</v>
      </c>
      <c r="P333" t="str">
        <f t="shared" si="21"/>
        <v>High</v>
      </c>
      <c r="Q333" t="str">
        <f t="shared" si="22"/>
        <v>No</v>
      </c>
      <c r="R333" s="10">
        <f t="shared" si="23"/>
        <v>1</v>
      </c>
    </row>
    <row r="334" spans="1:18">
      <c r="A334" t="s">
        <v>1359</v>
      </c>
      <c r="B334" t="s">
        <v>1360</v>
      </c>
      <c r="C334" t="s">
        <v>1361</v>
      </c>
      <c r="D334" t="s">
        <v>49</v>
      </c>
      <c r="E334" t="s">
        <v>42</v>
      </c>
      <c r="F334" t="s">
        <v>58</v>
      </c>
      <c r="G334" s="7">
        <v>45657</v>
      </c>
      <c r="H334">
        <v>18</v>
      </c>
      <c r="I334">
        <v>36.07</v>
      </c>
      <c r="J334" t="s">
        <v>44</v>
      </c>
      <c r="K334" t="s">
        <v>25</v>
      </c>
      <c r="L334" t="s">
        <v>26</v>
      </c>
      <c r="M334">
        <v>4</v>
      </c>
      <c r="N334" t="s">
        <v>27</v>
      </c>
      <c r="O334" t="str">
        <f t="shared" si="20"/>
        <v>2024-12</v>
      </c>
      <c r="P334" t="str">
        <f t="shared" si="21"/>
        <v>Low</v>
      </c>
      <c r="Q334" t="str">
        <f t="shared" si="22"/>
        <v>Yes</v>
      </c>
      <c r="R334" s="10">
        <f t="shared" si="23"/>
        <v>0</v>
      </c>
    </row>
    <row r="335" spans="1:18">
      <c r="A335" t="s">
        <v>1362</v>
      </c>
      <c r="B335" t="s">
        <v>1363</v>
      </c>
      <c r="C335" t="s">
        <v>1364</v>
      </c>
      <c r="D335" t="s">
        <v>57</v>
      </c>
      <c r="E335" t="s">
        <v>42</v>
      </c>
      <c r="F335" t="s">
        <v>23</v>
      </c>
      <c r="G335" s="7">
        <v>45676</v>
      </c>
      <c r="H335">
        <v>5</v>
      </c>
      <c r="I335">
        <v>14.86</v>
      </c>
      <c r="J335" t="s">
        <v>44</v>
      </c>
      <c r="K335" t="s">
        <v>53</v>
      </c>
      <c r="L335" t="s">
        <v>26</v>
      </c>
      <c r="M335">
        <v>23</v>
      </c>
      <c r="N335" t="s">
        <v>27</v>
      </c>
      <c r="O335" t="str">
        <f t="shared" si="20"/>
        <v>2025-01</v>
      </c>
      <c r="P335" t="str">
        <f t="shared" si="21"/>
        <v>Low</v>
      </c>
      <c r="Q335" t="str">
        <f t="shared" si="22"/>
        <v>Yes</v>
      </c>
      <c r="R335" s="10">
        <f t="shared" si="23"/>
        <v>0</v>
      </c>
    </row>
    <row r="336" spans="1:18">
      <c r="A336" t="s">
        <v>327</v>
      </c>
      <c r="B336" t="s">
        <v>328</v>
      </c>
      <c r="C336" t="s">
        <v>329</v>
      </c>
      <c r="D336" t="s">
        <v>49</v>
      </c>
      <c r="E336" t="s">
        <v>34</v>
      </c>
      <c r="F336" t="s">
        <v>35</v>
      </c>
      <c r="G336" s="7">
        <v>45665</v>
      </c>
      <c r="H336">
        <v>159</v>
      </c>
      <c r="I336">
        <v>0</v>
      </c>
      <c r="J336" t="s">
        <v>36</v>
      </c>
      <c r="K336" t="s">
        <v>25</v>
      </c>
      <c r="L336" t="s">
        <v>37</v>
      </c>
      <c r="M336">
        <v>20</v>
      </c>
      <c r="N336" t="s">
        <v>30</v>
      </c>
      <c r="O336" t="str">
        <f t="shared" si="20"/>
        <v>2025-01</v>
      </c>
      <c r="P336" t="str">
        <f t="shared" si="21"/>
        <v>High</v>
      </c>
      <c r="Q336" t="str">
        <f t="shared" si="22"/>
        <v>No</v>
      </c>
      <c r="R336" s="10">
        <f t="shared" si="23"/>
        <v>1</v>
      </c>
    </row>
    <row r="337" spans="1:18">
      <c r="A337" t="s">
        <v>590</v>
      </c>
      <c r="B337" t="s">
        <v>591</v>
      </c>
      <c r="C337" t="s">
        <v>592</v>
      </c>
      <c r="D337" t="s">
        <v>49</v>
      </c>
      <c r="E337" t="s">
        <v>34</v>
      </c>
      <c r="F337" t="s">
        <v>35</v>
      </c>
      <c r="G337" s="7">
        <v>45732</v>
      </c>
      <c r="H337">
        <v>161</v>
      </c>
      <c r="I337">
        <v>45.73</v>
      </c>
      <c r="J337" t="s">
        <v>24</v>
      </c>
      <c r="K337" t="s">
        <v>25</v>
      </c>
      <c r="L337" t="s">
        <v>26</v>
      </c>
      <c r="M337">
        <v>4</v>
      </c>
      <c r="N337" t="s">
        <v>30</v>
      </c>
      <c r="O337" t="str">
        <f t="shared" si="20"/>
        <v>2025-03</v>
      </c>
      <c r="P337" t="str">
        <f t="shared" si="21"/>
        <v>High</v>
      </c>
      <c r="Q337" t="str">
        <f t="shared" si="22"/>
        <v>Yes</v>
      </c>
      <c r="R337" s="10">
        <f t="shared" si="23"/>
        <v>1</v>
      </c>
    </row>
    <row r="338" spans="1:18">
      <c r="A338" t="s">
        <v>1365</v>
      </c>
      <c r="B338" t="s">
        <v>1366</v>
      </c>
      <c r="C338" t="s">
        <v>1367</v>
      </c>
      <c r="D338" t="s">
        <v>21</v>
      </c>
      <c r="E338" t="s">
        <v>42</v>
      </c>
      <c r="F338" t="s">
        <v>35</v>
      </c>
      <c r="G338" s="7">
        <v>45723</v>
      </c>
      <c r="H338">
        <v>13</v>
      </c>
      <c r="I338">
        <v>0</v>
      </c>
      <c r="J338" t="s">
        <v>36</v>
      </c>
      <c r="K338" t="s">
        <v>66</v>
      </c>
      <c r="L338" t="s">
        <v>37</v>
      </c>
      <c r="M338">
        <v>49</v>
      </c>
      <c r="N338" t="s">
        <v>27</v>
      </c>
      <c r="O338" t="str">
        <f t="shared" si="20"/>
        <v>2025-03</v>
      </c>
      <c r="P338" t="str">
        <f t="shared" si="21"/>
        <v>Low</v>
      </c>
      <c r="Q338" t="str">
        <f t="shared" si="22"/>
        <v>No</v>
      </c>
      <c r="R338" s="10">
        <f t="shared" si="23"/>
        <v>0</v>
      </c>
    </row>
    <row r="339" spans="1:18">
      <c r="A339" t="s">
        <v>739</v>
      </c>
      <c r="B339" t="s">
        <v>740</v>
      </c>
      <c r="C339" t="s">
        <v>741</v>
      </c>
      <c r="D339" t="s">
        <v>62</v>
      </c>
      <c r="E339" t="s">
        <v>34</v>
      </c>
      <c r="F339" t="s">
        <v>80</v>
      </c>
      <c r="G339" s="7">
        <v>45759</v>
      </c>
      <c r="H339">
        <v>110</v>
      </c>
      <c r="I339">
        <v>0</v>
      </c>
      <c r="J339" t="s">
        <v>36</v>
      </c>
      <c r="K339" t="s">
        <v>25</v>
      </c>
      <c r="L339" t="s">
        <v>37</v>
      </c>
      <c r="M339">
        <v>40</v>
      </c>
      <c r="N339" t="s">
        <v>27</v>
      </c>
      <c r="O339" t="str">
        <f t="shared" si="20"/>
        <v>2025-04</v>
      </c>
      <c r="P339" t="str">
        <f t="shared" si="21"/>
        <v>High</v>
      </c>
      <c r="Q339" t="str">
        <f t="shared" si="22"/>
        <v>No</v>
      </c>
      <c r="R339" s="10">
        <f t="shared" si="23"/>
        <v>0</v>
      </c>
    </row>
    <row r="340" spans="1:18">
      <c r="A340" t="s">
        <v>1368</v>
      </c>
      <c r="B340" t="s">
        <v>1369</v>
      </c>
      <c r="C340" t="s">
        <v>1370</v>
      </c>
      <c r="D340" t="s">
        <v>49</v>
      </c>
      <c r="E340" t="s">
        <v>34</v>
      </c>
      <c r="F340" t="s">
        <v>73</v>
      </c>
      <c r="G340" s="7">
        <v>45703</v>
      </c>
      <c r="H340">
        <v>22</v>
      </c>
      <c r="I340">
        <v>0</v>
      </c>
      <c r="J340" t="s">
        <v>36</v>
      </c>
      <c r="K340" t="s">
        <v>25</v>
      </c>
      <c r="L340" t="s">
        <v>37</v>
      </c>
      <c r="M340">
        <v>34</v>
      </c>
      <c r="N340" t="s">
        <v>27</v>
      </c>
      <c r="O340" t="str">
        <f t="shared" si="20"/>
        <v>2025-02</v>
      </c>
      <c r="P340" t="str">
        <f t="shared" si="21"/>
        <v>Medium</v>
      </c>
      <c r="Q340" t="str">
        <f t="shared" si="22"/>
        <v>No</v>
      </c>
      <c r="R340" s="10">
        <f t="shared" si="23"/>
        <v>0</v>
      </c>
    </row>
    <row r="341" spans="1:18">
      <c r="A341" t="s">
        <v>940</v>
      </c>
      <c r="B341" t="s">
        <v>941</v>
      </c>
      <c r="C341" t="s">
        <v>942</v>
      </c>
      <c r="D341" t="s">
        <v>21</v>
      </c>
      <c r="E341" t="s">
        <v>42</v>
      </c>
      <c r="F341" t="s">
        <v>80</v>
      </c>
      <c r="G341" s="7">
        <v>45789</v>
      </c>
      <c r="H341">
        <v>168</v>
      </c>
      <c r="I341">
        <v>33.729999999999997</v>
      </c>
      <c r="J341" t="s">
        <v>44</v>
      </c>
      <c r="K341" t="s">
        <v>25</v>
      </c>
      <c r="L341" t="s">
        <v>26</v>
      </c>
      <c r="M341">
        <v>48</v>
      </c>
      <c r="N341" t="s">
        <v>30</v>
      </c>
      <c r="O341" t="str">
        <f t="shared" si="20"/>
        <v>2025-05</v>
      </c>
      <c r="P341" t="str">
        <f t="shared" si="21"/>
        <v>High</v>
      </c>
      <c r="Q341" t="str">
        <f t="shared" si="22"/>
        <v>Yes</v>
      </c>
      <c r="R341" s="10">
        <f t="shared" si="23"/>
        <v>1</v>
      </c>
    </row>
    <row r="342" spans="1:18">
      <c r="A342" t="s">
        <v>1371</v>
      </c>
      <c r="B342" t="s">
        <v>1372</v>
      </c>
      <c r="C342" t="s">
        <v>1373</v>
      </c>
      <c r="D342" t="s">
        <v>62</v>
      </c>
      <c r="E342" t="s">
        <v>34</v>
      </c>
      <c r="F342" t="s">
        <v>23</v>
      </c>
      <c r="G342" s="7">
        <v>45668</v>
      </c>
      <c r="H342">
        <v>24</v>
      </c>
      <c r="I342">
        <v>0</v>
      </c>
      <c r="J342" t="s">
        <v>36</v>
      </c>
      <c r="K342" t="s">
        <v>25</v>
      </c>
      <c r="L342" t="s">
        <v>37</v>
      </c>
      <c r="M342">
        <v>41</v>
      </c>
      <c r="N342" t="s">
        <v>27</v>
      </c>
      <c r="O342" t="str">
        <f t="shared" si="20"/>
        <v>2025-01</v>
      </c>
      <c r="P342" t="str">
        <f t="shared" si="21"/>
        <v>Medium</v>
      </c>
      <c r="Q342" t="str">
        <f t="shared" si="22"/>
        <v>No</v>
      </c>
      <c r="R342" s="10">
        <f t="shared" si="23"/>
        <v>0</v>
      </c>
    </row>
    <row r="343" spans="1:18">
      <c r="A343" t="s">
        <v>136</v>
      </c>
      <c r="B343" t="s">
        <v>137</v>
      </c>
      <c r="C343" t="s">
        <v>138</v>
      </c>
      <c r="D343" t="s">
        <v>41</v>
      </c>
      <c r="E343" t="s">
        <v>22</v>
      </c>
      <c r="F343" t="s">
        <v>35</v>
      </c>
      <c r="G343" s="7">
        <v>45655</v>
      </c>
      <c r="H343">
        <v>166</v>
      </c>
      <c r="I343">
        <v>0</v>
      </c>
      <c r="J343" t="s">
        <v>36</v>
      </c>
      <c r="K343" t="s">
        <v>53</v>
      </c>
      <c r="L343" t="s">
        <v>37</v>
      </c>
      <c r="M343">
        <v>30</v>
      </c>
      <c r="N343" t="s">
        <v>30</v>
      </c>
      <c r="O343" t="str">
        <f t="shared" si="20"/>
        <v>2024-12</v>
      </c>
      <c r="P343" t="str">
        <f t="shared" si="21"/>
        <v>High</v>
      </c>
      <c r="Q343" t="str">
        <f t="shared" si="22"/>
        <v>No</v>
      </c>
      <c r="R343" s="10">
        <f t="shared" si="23"/>
        <v>1</v>
      </c>
    </row>
    <row r="344" spans="1:18">
      <c r="A344" t="s">
        <v>1374</v>
      </c>
      <c r="B344" t="s">
        <v>1375</v>
      </c>
      <c r="C344" t="s">
        <v>1376</v>
      </c>
      <c r="D344" t="s">
        <v>49</v>
      </c>
      <c r="E344" t="s">
        <v>34</v>
      </c>
      <c r="F344" t="s">
        <v>35</v>
      </c>
      <c r="G344" s="7">
        <v>45756</v>
      </c>
      <c r="H344">
        <v>42</v>
      </c>
      <c r="I344">
        <v>0</v>
      </c>
      <c r="J344" t="s">
        <v>36</v>
      </c>
      <c r="K344" t="s">
        <v>25</v>
      </c>
      <c r="L344" t="s">
        <v>26</v>
      </c>
      <c r="M344">
        <v>12</v>
      </c>
      <c r="N344" t="s">
        <v>27</v>
      </c>
      <c r="O344" t="str">
        <f t="shared" si="20"/>
        <v>2025-04</v>
      </c>
      <c r="P344" t="str">
        <f t="shared" si="21"/>
        <v>Medium</v>
      </c>
      <c r="Q344" t="str">
        <f t="shared" si="22"/>
        <v>No</v>
      </c>
      <c r="R344" s="10">
        <f t="shared" si="23"/>
        <v>0</v>
      </c>
    </row>
    <row r="345" spans="1:18">
      <c r="A345" t="s">
        <v>1377</v>
      </c>
      <c r="B345" t="s">
        <v>1378</v>
      </c>
      <c r="C345" t="s">
        <v>1379</v>
      </c>
      <c r="D345" t="s">
        <v>49</v>
      </c>
      <c r="E345" t="s">
        <v>34</v>
      </c>
      <c r="F345" t="s">
        <v>80</v>
      </c>
      <c r="G345" s="7">
        <v>45780</v>
      </c>
      <c r="H345">
        <v>39</v>
      </c>
      <c r="I345">
        <v>0</v>
      </c>
      <c r="J345" t="s">
        <v>36</v>
      </c>
      <c r="K345" t="s">
        <v>25</v>
      </c>
      <c r="L345" t="s">
        <v>37</v>
      </c>
      <c r="M345">
        <v>49</v>
      </c>
      <c r="N345" t="s">
        <v>27</v>
      </c>
      <c r="O345" t="str">
        <f t="shared" si="20"/>
        <v>2025-05</v>
      </c>
      <c r="P345" t="str">
        <f t="shared" si="21"/>
        <v>Medium</v>
      </c>
      <c r="Q345" t="str">
        <f t="shared" si="22"/>
        <v>No</v>
      </c>
      <c r="R345" s="10">
        <f t="shared" si="23"/>
        <v>0</v>
      </c>
    </row>
    <row r="346" spans="1:18">
      <c r="A346" t="s">
        <v>733</v>
      </c>
      <c r="B346" t="s">
        <v>734</v>
      </c>
      <c r="C346" t="s">
        <v>735</v>
      </c>
      <c r="D346" t="s">
        <v>41</v>
      </c>
      <c r="E346" t="s">
        <v>22</v>
      </c>
      <c r="F346" t="s">
        <v>43</v>
      </c>
      <c r="G346" s="7">
        <v>45766</v>
      </c>
      <c r="H346">
        <v>91</v>
      </c>
      <c r="I346">
        <v>13.08</v>
      </c>
      <c r="J346" t="s">
        <v>129</v>
      </c>
      <c r="K346" t="s">
        <v>25</v>
      </c>
      <c r="L346" t="s">
        <v>26</v>
      </c>
      <c r="M346">
        <v>17</v>
      </c>
      <c r="N346" t="s">
        <v>27</v>
      </c>
      <c r="O346" t="str">
        <f t="shared" si="20"/>
        <v>2025-04</v>
      </c>
      <c r="P346" t="str">
        <f t="shared" si="21"/>
        <v>High</v>
      </c>
      <c r="Q346" t="str">
        <f t="shared" si="22"/>
        <v>Yes</v>
      </c>
      <c r="R346" s="10">
        <f t="shared" si="23"/>
        <v>0</v>
      </c>
    </row>
    <row r="347" spans="1:18">
      <c r="A347" t="s">
        <v>1380</v>
      </c>
      <c r="B347" t="s">
        <v>1381</v>
      </c>
      <c r="C347" t="s">
        <v>1382</v>
      </c>
      <c r="D347" t="s">
        <v>21</v>
      </c>
      <c r="E347" t="s">
        <v>22</v>
      </c>
      <c r="F347" t="s">
        <v>23</v>
      </c>
      <c r="G347" s="7">
        <v>45782</v>
      </c>
      <c r="H347">
        <v>30</v>
      </c>
      <c r="I347">
        <v>0</v>
      </c>
      <c r="J347" t="s">
        <v>36</v>
      </c>
      <c r="K347" t="s">
        <v>53</v>
      </c>
      <c r="L347" t="s">
        <v>37</v>
      </c>
      <c r="M347">
        <v>42</v>
      </c>
      <c r="N347" t="s">
        <v>27</v>
      </c>
      <c r="O347" t="str">
        <f t="shared" si="20"/>
        <v>2025-05</v>
      </c>
      <c r="P347" t="str">
        <f t="shared" si="21"/>
        <v>Medium</v>
      </c>
      <c r="Q347" t="str">
        <f t="shared" si="22"/>
        <v>No</v>
      </c>
      <c r="R347" s="10">
        <f t="shared" si="23"/>
        <v>0</v>
      </c>
    </row>
    <row r="348" spans="1:18">
      <c r="A348" t="s">
        <v>1383</v>
      </c>
      <c r="B348" t="s">
        <v>1384</v>
      </c>
      <c r="C348" t="s">
        <v>1385</v>
      </c>
      <c r="D348" t="s">
        <v>57</v>
      </c>
      <c r="E348" t="s">
        <v>22</v>
      </c>
      <c r="F348" t="s">
        <v>43</v>
      </c>
      <c r="G348" s="7">
        <v>45639</v>
      </c>
      <c r="H348">
        <v>44</v>
      </c>
      <c r="I348">
        <v>0</v>
      </c>
      <c r="J348" t="s">
        <v>36</v>
      </c>
      <c r="K348" t="s">
        <v>25</v>
      </c>
      <c r="L348" t="s">
        <v>37</v>
      </c>
      <c r="M348">
        <v>19</v>
      </c>
      <c r="N348" t="s">
        <v>27</v>
      </c>
      <c r="O348" t="str">
        <f t="shared" si="20"/>
        <v>2024-12</v>
      </c>
      <c r="P348" t="str">
        <f t="shared" si="21"/>
        <v>Medium</v>
      </c>
      <c r="Q348" t="str">
        <f t="shared" si="22"/>
        <v>No</v>
      </c>
      <c r="R348" s="10">
        <f t="shared" si="23"/>
        <v>0</v>
      </c>
    </row>
    <row r="349" spans="1:18">
      <c r="A349" t="s">
        <v>1386</v>
      </c>
      <c r="B349" t="s">
        <v>1387</v>
      </c>
      <c r="C349" t="s">
        <v>1388</v>
      </c>
      <c r="D349" t="s">
        <v>21</v>
      </c>
      <c r="E349" t="s">
        <v>34</v>
      </c>
      <c r="F349" t="s">
        <v>73</v>
      </c>
      <c r="G349" s="7">
        <v>45730</v>
      </c>
      <c r="H349">
        <v>57</v>
      </c>
      <c r="I349">
        <v>0</v>
      </c>
      <c r="J349" t="s">
        <v>36</v>
      </c>
      <c r="K349" t="s">
        <v>25</v>
      </c>
      <c r="L349" t="s">
        <v>26</v>
      </c>
      <c r="M349">
        <v>29</v>
      </c>
      <c r="N349" t="s">
        <v>27</v>
      </c>
      <c r="O349" t="str">
        <f t="shared" si="20"/>
        <v>2025-03</v>
      </c>
      <c r="P349" t="str">
        <f t="shared" si="21"/>
        <v>Medium</v>
      </c>
      <c r="Q349" t="str">
        <f t="shared" si="22"/>
        <v>No</v>
      </c>
      <c r="R349" s="10">
        <f t="shared" si="23"/>
        <v>0</v>
      </c>
    </row>
    <row r="350" spans="1:18">
      <c r="A350" t="s">
        <v>934</v>
      </c>
      <c r="B350" t="s">
        <v>935</v>
      </c>
      <c r="C350" t="s">
        <v>936</v>
      </c>
      <c r="D350" t="s">
        <v>57</v>
      </c>
      <c r="E350" t="s">
        <v>42</v>
      </c>
      <c r="F350" t="s">
        <v>80</v>
      </c>
      <c r="G350" s="7">
        <v>45807</v>
      </c>
      <c r="H350">
        <v>165</v>
      </c>
      <c r="I350">
        <v>0</v>
      </c>
      <c r="J350" t="s">
        <v>36</v>
      </c>
      <c r="K350" t="s">
        <v>25</v>
      </c>
      <c r="L350" t="s">
        <v>37</v>
      </c>
      <c r="M350">
        <v>15</v>
      </c>
      <c r="N350" t="s">
        <v>30</v>
      </c>
      <c r="O350" t="str">
        <f t="shared" si="20"/>
        <v>2025-05</v>
      </c>
      <c r="P350" t="str">
        <f t="shared" si="21"/>
        <v>High</v>
      </c>
      <c r="Q350" t="str">
        <f t="shared" si="22"/>
        <v>No</v>
      </c>
      <c r="R350" s="10">
        <f t="shared" si="23"/>
        <v>1</v>
      </c>
    </row>
    <row r="351" spans="1:18">
      <c r="A351" t="s">
        <v>1389</v>
      </c>
      <c r="B351" t="s">
        <v>1390</v>
      </c>
      <c r="C351" t="s">
        <v>1391</v>
      </c>
      <c r="D351" t="s">
        <v>62</v>
      </c>
      <c r="E351" t="s">
        <v>42</v>
      </c>
      <c r="F351" t="s">
        <v>35</v>
      </c>
      <c r="G351" s="7">
        <v>45712</v>
      </c>
      <c r="H351">
        <v>22</v>
      </c>
      <c r="I351">
        <v>0</v>
      </c>
      <c r="J351" t="s">
        <v>36</v>
      </c>
      <c r="K351" t="s">
        <v>25</v>
      </c>
      <c r="L351" t="s">
        <v>37</v>
      </c>
      <c r="M351">
        <v>22</v>
      </c>
      <c r="N351" t="s">
        <v>27</v>
      </c>
      <c r="O351" t="str">
        <f t="shared" si="20"/>
        <v>2025-02</v>
      </c>
      <c r="P351" t="str">
        <f t="shared" si="21"/>
        <v>Medium</v>
      </c>
      <c r="Q351" t="str">
        <f t="shared" si="22"/>
        <v>No</v>
      </c>
      <c r="R351" s="10">
        <f t="shared" si="23"/>
        <v>0</v>
      </c>
    </row>
    <row r="352" spans="1:18">
      <c r="A352" t="s">
        <v>1392</v>
      </c>
      <c r="B352" t="s">
        <v>1393</v>
      </c>
      <c r="C352" t="s">
        <v>1394</v>
      </c>
      <c r="D352" t="s">
        <v>62</v>
      </c>
      <c r="E352" t="s">
        <v>42</v>
      </c>
      <c r="F352" t="s">
        <v>73</v>
      </c>
      <c r="G352" s="7">
        <v>45696</v>
      </c>
      <c r="H352">
        <v>21</v>
      </c>
      <c r="I352">
        <v>0</v>
      </c>
      <c r="J352" t="s">
        <v>36</v>
      </c>
      <c r="K352" t="s">
        <v>25</v>
      </c>
      <c r="L352" t="s">
        <v>37</v>
      </c>
      <c r="M352">
        <v>46</v>
      </c>
      <c r="N352" t="s">
        <v>27</v>
      </c>
      <c r="O352" t="str">
        <f t="shared" si="20"/>
        <v>2025-02</v>
      </c>
      <c r="P352" t="str">
        <f t="shared" si="21"/>
        <v>Medium</v>
      </c>
      <c r="Q352" t="str">
        <f t="shared" si="22"/>
        <v>No</v>
      </c>
      <c r="R352" s="10">
        <f t="shared" si="23"/>
        <v>0</v>
      </c>
    </row>
    <row r="353" spans="1:18">
      <c r="A353" t="s">
        <v>566</v>
      </c>
      <c r="B353" t="s">
        <v>567</v>
      </c>
      <c r="C353" t="s">
        <v>568</v>
      </c>
      <c r="D353" t="s">
        <v>21</v>
      </c>
      <c r="E353" t="s">
        <v>22</v>
      </c>
      <c r="F353" t="s">
        <v>43</v>
      </c>
      <c r="G353" s="7">
        <v>45731</v>
      </c>
      <c r="H353">
        <v>127</v>
      </c>
      <c r="I353">
        <v>0</v>
      </c>
      <c r="J353" t="s">
        <v>36</v>
      </c>
      <c r="K353" t="s">
        <v>25</v>
      </c>
      <c r="L353" t="s">
        <v>37</v>
      </c>
      <c r="M353">
        <v>13</v>
      </c>
      <c r="N353" t="s">
        <v>27</v>
      </c>
      <c r="O353" t="str">
        <f t="shared" si="20"/>
        <v>2025-03</v>
      </c>
      <c r="P353" t="str">
        <f t="shared" si="21"/>
        <v>High</v>
      </c>
      <c r="Q353" t="str">
        <f t="shared" si="22"/>
        <v>No</v>
      </c>
      <c r="R353" s="10">
        <f t="shared" si="23"/>
        <v>0</v>
      </c>
    </row>
    <row r="354" spans="1:18">
      <c r="A354" t="s">
        <v>1395</v>
      </c>
      <c r="B354" t="s">
        <v>1396</v>
      </c>
      <c r="C354" t="s">
        <v>1397</v>
      </c>
      <c r="D354" t="s">
        <v>41</v>
      </c>
      <c r="E354" t="s">
        <v>22</v>
      </c>
      <c r="F354" t="s">
        <v>73</v>
      </c>
      <c r="G354" s="7">
        <v>45711</v>
      </c>
      <c r="H354">
        <v>21</v>
      </c>
      <c r="I354">
        <v>0</v>
      </c>
      <c r="J354" t="s">
        <v>36</v>
      </c>
      <c r="K354" t="s">
        <v>25</v>
      </c>
      <c r="L354" t="s">
        <v>37</v>
      </c>
      <c r="M354">
        <v>2</v>
      </c>
      <c r="N354" t="s">
        <v>27</v>
      </c>
      <c r="O354" t="str">
        <f t="shared" si="20"/>
        <v>2025-02</v>
      </c>
      <c r="P354" t="str">
        <f t="shared" si="21"/>
        <v>Medium</v>
      </c>
      <c r="Q354" t="str">
        <f t="shared" si="22"/>
        <v>No</v>
      </c>
      <c r="R354" s="10">
        <f t="shared" si="23"/>
        <v>0</v>
      </c>
    </row>
    <row r="355" spans="1:18">
      <c r="A355" t="s">
        <v>563</v>
      </c>
      <c r="B355" t="s">
        <v>564</v>
      </c>
      <c r="C355" t="s">
        <v>565</v>
      </c>
      <c r="D355" t="s">
        <v>49</v>
      </c>
      <c r="E355" t="s">
        <v>42</v>
      </c>
      <c r="F355" t="s">
        <v>80</v>
      </c>
      <c r="G355" s="7">
        <v>45717</v>
      </c>
      <c r="H355">
        <v>136</v>
      </c>
      <c r="I355">
        <v>0</v>
      </c>
      <c r="J355" t="s">
        <v>36</v>
      </c>
      <c r="K355" t="s">
        <v>25</v>
      </c>
      <c r="L355" t="s">
        <v>37</v>
      </c>
      <c r="M355">
        <v>50</v>
      </c>
      <c r="N355" t="s">
        <v>27</v>
      </c>
      <c r="O355" t="str">
        <f t="shared" si="20"/>
        <v>2025-03</v>
      </c>
      <c r="P355" t="str">
        <f t="shared" si="21"/>
        <v>High</v>
      </c>
      <c r="Q355" t="str">
        <f t="shared" si="22"/>
        <v>No</v>
      </c>
      <c r="R355" s="10">
        <f t="shared" si="23"/>
        <v>0</v>
      </c>
    </row>
    <row r="356" spans="1:18">
      <c r="A356" t="s">
        <v>1398</v>
      </c>
      <c r="B356" t="s">
        <v>1399</v>
      </c>
      <c r="C356" t="s">
        <v>1400</v>
      </c>
      <c r="D356" t="s">
        <v>21</v>
      </c>
      <c r="E356" t="s">
        <v>42</v>
      </c>
      <c r="F356" t="s">
        <v>80</v>
      </c>
      <c r="G356" s="7">
        <v>45770</v>
      </c>
      <c r="H356">
        <v>41</v>
      </c>
      <c r="I356">
        <v>0</v>
      </c>
      <c r="J356" t="s">
        <v>36</v>
      </c>
      <c r="K356" t="s">
        <v>25</v>
      </c>
      <c r="L356" t="s">
        <v>37</v>
      </c>
      <c r="M356">
        <v>27</v>
      </c>
      <c r="N356" t="s">
        <v>27</v>
      </c>
      <c r="O356" t="str">
        <f t="shared" si="20"/>
        <v>2025-04</v>
      </c>
      <c r="P356" t="str">
        <f t="shared" si="21"/>
        <v>Medium</v>
      </c>
      <c r="Q356" t="str">
        <f t="shared" si="22"/>
        <v>No</v>
      </c>
      <c r="R356" s="10">
        <f t="shared" si="23"/>
        <v>0</v>
      </c>
    </row>
    <row r="357" spans="1:18">
      <c r="A357" t="s">
        <v>928</v>
      </c>
      <c r="B357" t="s">
        <v>929</v>
      </c>
      <c r="C357" t="s">
        <v>930</v>
      </c>
      <c r="D357" t="s">
        <v>57</v>
      </c>
      <c r="E357" t="s">
        <v>22</v>
      </c>
      <c r="F357" t="s">
        <v>23</v>
      </c>
      <c r="G357" s="7">
        <v>45798</v>
      </c>
      <c r="H357">
        <v>104</v>
      </c>
      <c r="I357">
        <v>0</v>
      </c>
      <c r="J357" t="s">
        <v>36</v>
      </c>
      <c r="K357" t="s">
        <v>25</v>
      </c>
      <c r="L357" t="s">
        <v>37</v>
      </c>
      <c r="M357">
        <v>14</v>
      </c>
      <c r="N357" t="s">
        <v>27</v>
      </c>
      <c r="O357" t="str">
        <f t="shared" si="20"/>
        <v>2025-05</v>
      </c>
      <c r="P357" t="str">
        <f t="shared" si="21"/>
        <v>High</v>
      </c>
      <c r="Q357" t="str">
        <f t="shared" si="22"/>
        <v>No</v>
      </c>
      <c r="R357" s="10">
        <f t="shared" si="23"/>
        <v>0</v>
      </c>
    </row>
    <row r="358" spans="1:18">
      <c r="A358" t="s">
        <v>454</v>
      </c>
      <c r="B358" t="s">
        <v>455</v>
      </c>
      <c r="C358" t="s">
        <v>456</v>
      </c>
      <c r="D358" t="s">
        <v>21</v>
      </c>
      <c r="E358" t="s">
        <v>42</v>
      </c>
      <c r="F358" t="s">
        <v>23</v>
      </c>
      <c r="G358" s="7">
        <v>45689</v>
      </c>
      <c r="H358">
        <v>84</v>
      </c>
      <c r="I358">
        <v>23.18</v>
      </c>
      <c r="J358" t="s">
        <v>173</v>
      </c>
      <c r="K358" t="s">
        <v>25</v>
      </c>
      <c r="L358" t="s">
        <v>26</v>
      </c>
      <c r="M358">
        <v>2</v>
      </c>
      <c r="N358" t="s">
        <v>27</v>
      </c>
      <c r="O358" t="str">
        <f t="shared" si="20"/>
        <v>2025-02</v>
      </c>
      <c r="P358" t="str">
        <f t="shared" si="21"/>
        <v>High</v>
      </c>
      <c r="Q358" t="str">
        <f t="shared" si="22"/>
        <v>Yes</v>
      </c>
      <c r="R358" s="10">
        <f t="shared" si="23"/>
        <v>0</v>
      </c>
    </row>
    <row r="359" spans="1:18">
      <c r="A359" t="s">
        <v>922</v>
      </c>
      <c r="B359" t="s">
        <v>923</v>
      </c>
      <c r="C359" t="s">
        <v>924</v>
      </c>
      <c r="D359" t="s">
        <v>49</v>
      </c>
      <c r="E359" t="s">
        <v>34</v>
      </c>
      <c r="F359" t="s">
        <v>80</v>
      </c>
      <c r="G359" s="7">
        <v>45801</v>
      </c>
      <c r="H359">
        <v>71</v>
      </c>
      <c r="I359">
        <v>0</v>
      </c>
      <c r="J359" t="s">
        <v>36</v>
      </c>
      <c r="K359" t="s">
        <v>25</v>
      </c>
      <c r="L359" t="s">
        <v>26</v>
      </c>
      <c r="M359">
        <v>5</v>
      </c>
      <c r="N359" t="s">
        <v>27</v>
      </c>
      <c r="O359" t="str">
        <f t="shared" si="20"/>
        <v>2025-05</v>
      </c>
      <c r="P359" t="str">
        <f t="shared" si="21"/>
        <v>High</v>
      </c>
      <c r="Q359" t="str">
        <f t="shared" si="22"/>
        <v>No</v>
      </c>
      <c r="R359" s="10">
        <f t="shared" si="23"/>
        <v>0</v>
      </c>
    </row>
    <row r="360" spans="1:18">
      <c r="A360" t="s">
        <v>451</v>
      </c>
      <c r="B360" t="s">
        <v>452</v>
      </c>
      <c r="C360" t="s">
        <v>453</v>
      </c>
      <c r="D360" t="s">
        <v>21</v>
      </c>
      <c r="E360" t="s">
        <v>42</v>
      </c>
      <c r="F360" t="s">
        <v>23</v>
      </c>
      <c r="G360" s="7">
        <v>45690</v>
      </c>
      <c r="H360">
        <v>63</v>
      </c>
      <c r="I360">
        <v>0</v>
      </c>
      <c r="J360" t="s">
        <v>36</v>
      </c>
      <c r="K360" t="s">
        <v>45</v>
      </c>
      <c r="L360" t="s">
        <v>37</v>
      </c>
      <c r="M360">
        <v>4</v>
      </c>
      <c r="N360" t="s">
        <v>27</v>
      </c>
      <c r="O360" t="str">
        <f t="shared" si="20"/>
        <v>2025-02</v>
      </c>
      <c r="P360" t="str">
        <f t="shared" si="21"/>
        <v>High</v>
      </c>
      <c r="Q360" t="str">
        <f t="shared" si="22"/>
        <v>No</v>
      </c>
      <c r="R360" s="10">
        <f t="shared" si="23"/>
        <v>0</v>
      </c>
    </row>
    <row r="361" spans="1:18">
      <c r="A361" t="s">
        <v>919</v>
      </c>
      <c r="B361" t="s">
        <v>920</v>
      </c>
      <c r="C361" t="s">
        <v>921</v>
      </c>
      <c r="D361" t="s">
        <v>62</v>
      </c>
      <c r="E361" t="s">
        <v>42</v>
      </c>
      <c r="F361" t="s">
        <v>80</v>
      </c>
      <c r="G361" s="7">
        <v>45783</v>
      </c>
      <c r="H361">
        <v>63</v>
      </c>
      <c r="I361">
        <v>0</v>
      </c>
      <c r="J361" t="s">
        <v>36</v>
      </c>
      <c r="K361" t="s">
        <v>25</v>
      </c>
      <c r="L361" t="s">
        <v>37</v>
      </c>
      <c r="M361">
        <v>15</v>
      </c>
      <c r="N361" t="s">
        <v>27</v>
      </c>
      <c r="O361" t="str">
        <f t="shared" si="20"/>
        <v>2025-05</v>
      </c>
      <c r="P361" t="str">
        <f t="shared" si="21"/>
        <v>High</v>
      </c>
      <c r="Q361" t="str">
        <f t="shared" si="22"/>
        <v>No</v>
      </c>
      <c r="R361" s="10">
        <f t="shared" si="23"/>
        <v>0</v>
      </c>
    </row>
    <row r="362" spans="1:18">
      <c r="A362" t="s">
        <v>1401</v>
      </c>
      <c r="B362" t="s">
        <v>1402</v>
      </c>
      <c r="C362" t="s">
        <v>1403</v>
      </c>
      <c r="D362" t="s">
        <v>21</v>
      </c>
      <c r="E362" t="s">
        <v>22</v>
      </c>
      <c r="F362" t="s">
        <v>58</v>
      </c>
      <c r="G362" s="7">
        <v>45817</v>
      </c>
      <c r="H362">
        <v>18</v>
      </c>
      <c r="I362">
        <v>0</v>
      </c>
      <c r="J362" t="s">
        <v>36</v>
      </c>
      <c r="K362" t="s">
        <v>25</v>
      </c>
      <c r="L362" t="s">
        <v>37</v>
      </c>
      <c r="M362">
        <v>16</v>
      </c>
      <c r="N362" t="s">
        <v>27</v>
      </c>
      <c r="O362" t="str">
        <f t="shared" si="20"/>
        <v>2025-06</v>
      </c>
      <c r="P362" t="str">
        <f t="shared" si="21"/>
        <v>Low</v>
      </c>
      <c r="Q362" t="str">
        <f t="shared" si="22"/>
        <v>No</v>
      </c>
      <c r="R362" s="10">
        <f t="shared" si="23"/>
        <v>0</v>
      </c>
    </row>
    <row r="363" spans="1:18">
      <c r="A363" t="s">
        <v>1009</v>
      </c>
      <c r="B363" t="s">
        <v>1010</v>
      </c>
      <c r="C363" t="s">
        <v>1011</v>
      </c>
      <c r="D363" t="s">
        <v>62</v>
      </c>
      <c r="E363" t="s">
        <v>22</v>
      </c>
      <c r="F363" t="s">
        <v>23</v>
      </c>
      <c r="G363" s="7">
        <v>45819</v>
      </c>
      <c r="H363">
        <v>73</v>
      </c>
      <c r="I363">
        <v>0</v>
      </c>
      <c r="J363" t="s">
        <v>36</v>
      </c>
      <c r="K363" t="s">
        <v>25</v>
      </c>
      <c r="L363" t="s">
        <v>37</v>
      </c>
      <c r="M363">
        <v>11</v>
      </c>
      <c r="N363" t="s">
        <v>27</v>
      </c>
      <c r="O363" t="str">
        <f t="shared" si="20"/>
        <v>2025-06</v>
      </c>
      <c r="P363" t="str">
        <f t="shared" si="21"/>
        <v>High</v>
      </c>
      <c r="Q363" t="str">
        <f t="shared" si="22"/>
        <v>No</v>
      </c>
      <c r="R363" s="10">
        <f t="shared" si="23"/>
        <v>0</v>
      </c>
    </row>
    <row r="364" spans="1:18">
      <c r="A364" t="s">
        <v>306</v>
      </c>
      <c r="B364" t="s">
        <v>307</v>
      </c>
      <c r="C364" t="s">
        <v>308</v>
      </c>
      <c r="D364" t="s">
        <v>62</v>
      </c>
      <c r="E364" t="s">
        <v>42</v>
      </c>
      <c r="F364" t="s">
        <v>73</v>
      </c>
      <c r="G364" s="7">
        <v>45671</v>
      </c>
      <c r="H364">
        <v>102</v>
      </c>
      <c r="I364">
        <v>0</v>
      </c>
      <c r="J364" t="s">
        <v>36</v>
      </c>
      <c r="K364" t="s">
        <v>25</v>
      </c>
      <c r="L364" t="s">
        <v>37</v>
      </c>
      <c r="M364">
        <v>2</v>
      </c>
      <c r="N364" t="s">
        <v>27</v>
      </c>
      <c r="O364" t="str">
        <f t="shared" si="20"/>
        <v>2025-01</v>
      </c>
      <c r="P364" t="str">
        <f t="shared" si="21"/>
        <v>High</v>
      </c>
      <c r="Q364" t="str">
        <f t="shared" si="22"/>
        <v>No</v>
      </c>
      <c r="R364" s="10">
        <f t="shared" si="23"/>
        <v>0</v>
      </c>
    </row>
    <row r="365" spans="1:18">
      <c r="A365" t="s">
        <v>303</v>
      </c>
      <c r="B365" t="s">
        <v>304</v>
      </c>
      <c r="C365" t="s">
        <v>305</v>
      </c>
      <c r="D365" t="s">
        <v>41</v>
      </c>
      <c r="E365" t="s">
        <v>42</v>
      </c>
      <c r="F365" t="s">
        <v>80</v>
      </c>
      <c r="G365" s="7">
        <v>45669</v>
      </c>
      <c r="H365">
        <v>91</v>
      </c>
      <c r="I365">
        <v>0</v>
      </c>
      <c r="J365" t="s">
        <v>36</v>
      </c>
      <c r="K365" t="s">
        <v>25</v>
      </c>
      <c r="L365" t="s">
        <v>37</v>
      </c>
      <c r="M365">
        <v>31</v>
      </c>
      <c r="N365" t="s">
        <v>27</v>
      </c>
      <c r="O365" t="str">
        <f t="shared" si="20"/>
        <v>2025-01</v>
      </c>
      <c r="P365" t="str">
        <f t="shared" si="21"/>
        <v>High</v>
      </c>
      <c r="Q365" t="str">
        <f t="shared" si="22"/>
        <v>No</v>
      </c>
      <c r="R365" s="10">
        <f t="shared" si="23"/>
        <v>0</v>
      </c>
    </row>
    <row r="366" spans="1:18">
      <c r="A366" t="s">
        <v>715</v>
      </c>
      <c r="B366" t="s">
        <v>716</v>
      </c>
      <c r="C366" t="s">
        <v>717</v>
      </c>
      <c r="D366" t="s">
        <v>62</v>
      </c>
      <c r="E366" t="s">
        <v>22</v>
      </c>
      <c r="F366" t="s">
        <v>80</v>
      </c>
      <c r="G366" s="7">
        <v>45763</v>
      </c>
      <c r="H366">
        <v>73</v>
      </c>
      <c r="I366">
        <v>0</v>
      </c>
      <c r="J366" t="s">
        <v>36</v>
      </c>
      <c r="K366" t="s">
        <v>53</v>
      </c>
      <c r="L366" t="s">
        <v>37</v>
      </c>
      <c r="M366">
        <v>32</v>
      </c>
      <c r="N366" t="s">
        <v>27</v>
      </c>
      <c r="O366" t="str">
        <f t="shared" si="20"/>
        <v>2025-04</v>
      </c>
      <c r="P366" t="str">
        <f t="shared" si="21"/>
        <v>High</v>
      </c>
      <c r="Q366" t="str">
        <f t="shared" si="22"/>
        <v>No</v>
      </c>
      <c r="R366" s="10">
        <f t="shared" si="23"/>
        <v>0</v>
      </c>
    </row>
    <row r="367" spans="1:18">
      <c r="A367" t="s">
        <v>445</v>
      </c>
      <c r="B367" t="s">
        <v>446</v>
      </c>
      <c r="C367" t="s">
        <v>447</v>
      </c>
      <c r="D367" t="s">
        <v>49</v>
      </c>
      <c r="E367" t="s">
        <v>22</v>
      </c>
      <c r="F367" t="s">
        <v>43</v>
      </c>
      <c r="G367" s="7">
        <v>45710</v>
      </c>
      <c r="H367">
        <v>80</v>
      </c>
      <c r="I367">
        <v>42.33</v>
      </c>
      <c r="J367" t="s">
        <v>24</v>
      </c>
      <c r="K367" t="s">
        <v>25</v>
      </c>
      <c r="L367" t="s">
        <v>26</v>
      </c>
      <c r="M367">
        <v>23</v>
      </c>
      <c r="N367" t="s">
        <v>30</v>
      </c>
      <c r="O367" t="str">
        <f t="shared" si="20"/>
        <v>2025-02</v>
      </c>
      <c r="P367" t="str">
        <f t="shared" si="21"/>
        <v>High</v>
      </c>
      <c r="Q367" t="str">
        <f t="shared" si="22"/>
        <v>Yes</v>
      </c>
      <c r="R367" s="10">
        <f t="shared" si="23"/>
        <v>1</v>
      </c>
    </row>
    <row r="368" spans="1:18">
      <c r="A368" t="s">
        <v>1404</v>
      </c>
      <c r="B368" t="s">
        <v>1405</v>
      </c>
      <c r="C368" t="s">
        <v>1406</v>
      </c>
      <c r="D368" t="s">
        <v>41</v>
      </c>
      <c r="E368" t="s">
        <v>22</v>
      </c>
      <c r="F368" t="s">
        <v>43</v>
      </c>
      <c r="G368" s="7">
        <v>45800</v>
      </c>
      <c r="H368">
        <v>6</v>
      </c>
      <c r="I368">
        <v>0</v>
      </c>
      <c r="J368" t="s">
        <v>36</v>
      </c>
      <c r="K368" t="s">
        <v>25</v>
      </c>
      <c r="L368" t="s">
        <v>37</v>
      </c>
      <c r="M368">
        <v>12</v>
      </c>
      <c r="N368" t="s">
        <v>27</v>
      </c>
      <c r="O368" t="str">
        <f t="shared" si="20"/>
        <v>2025-05</v>
      </c>
      <c r="P368" t="str">
        <f t="shared" si="21"/>
        <v>Low</v>
      </c>
      <c r="Q368" t="str">
        <f t="shared" si="22"/>
        <v>No</v>
      </c>
      <c r="R368" s="10">
        <f t="shared" si="23"/>
        <v>0</v>
      </c>
    </row>
    <row r="369" spans="1:18">
      <c r="A369" t="s">
        <v>706</v>
      </c>
      <c r="B369" t="s">
        <v>707</v>
      </c>
      <c r="C369" t="s">
        <v>708</v>
      </c>
      <c r="D369" t="s">
        <v>57</v>
      </c>
      <c r="E369" t="s">
        <v>22</v>
      </c>
      <c r="F369" t="s">
        <v>80</v>
      </c>
      <c r="G369" s="7">
        <v>45772</v>
      </c>
      <c r="H369">
        <v>161</v>
      </c>
      <c r="I369">
        <v>0</v>
      </c>
      <c r="J369" t="s">
        <v>36</v>
      </c>
      <c r="K369" t="s">
        <v>25</v>
      </c>
      <c r="L369" t="s">
        <v>37</v>
      </c>
      <c r="M369">
        <v>25</v>
      </c>
      <c r="N369" t="s">
        <v>30</v>
      </c>
      <c r="O369" t="str">
        <f t="shared" si="20"/>
        <v>2025-04</v>
      </c>
      <c r="P369" t="str">
        <f t="shared" si="21"/>
        <v>High</v>
      </c>
      <c r="Q369" t="str">
        <f t="shared" si="22"/>
        <v>No</v>
      </c>
      <c r="R369" s="10">
        <f t="shared" si="23"/>
        <v>1</v>
      </c>
    </row>
    <row r="370" spans="1:18">
      <c r="A370" t="s">
        <v>439</v>
      </c>
      <c r="B370" t="s">
        <v>440</v>
      </c>
      <c r="C370" t="s">
        <v>441</v>
      </c>
      <c r="D370" t="s">
        <v>62</v>
      </c>
      <c r="E370" t="s">
        <v>34</v>
      </c>
      <c r="F370" t="s">
        <v>23</v>
      </c>
      <c r="G370" s="7">
        <v>45714</v>
      </c>
      <c r="H370">
        <v>67</v>
      </c>
      <c r="I370">
        <v>0</v>
      </c>
      <c r="J370" t="s">
        <v>36</v>
      </c>
      <c r="K370" t="s">
        <v>66</v>
      </c>
      <c r="L370" t="s">
        <v>37</v>
      </c>
      <c r="M370">
        <v>48</v>
      </c>
      <c r="N370" t="s">
        <v>27</v>
      </c>
      <c r="O370" t="str">
        <f t="shared" si="20"/>
        <v>2025-02</v>
      </c>
      <c r="P370" t="str">
        <f t="shared" si="21"/>
        <v>High</v>
      </c>
      <c r="Q370" t="str">
        <f t="shared" si="22"/>
        <v>No</v>
      </c>
      <c r="R370" s="10">
        <f t="shared" si="23"/>
        <v>0</v>
      </c>
    </row>
    <row r="371" spans="1:18">
      <c r="A371" t="s">
        <v>560</v>
      </c>
      <c r="B371" t="s">
        <v>561</v>
      </c>
      <c r="C371" t="s">
        <v>562</v>
      </c>
      <c r="D371" t="s">
        <v>41</v>
      </c>
      <c r="E371" t="s">
        <v>22</v>
      </c>
      <c r="F371" t="s">
        <v>43</v>
      </c>
      <c r="G371" s="7">
        <v>45722</v>
      </c>
      <c r="H371">
        <v>144</v>
      </c>
      <c r="I371">
        <v>0</v>
      </c>
      <c r="J371" t="s">
        <v>36</v>
      </c>
      <c r="K371" t="s">
        <v>66</v>
      </c>
      <c r="L371" t="s">
        <v>37</v>
      </c>
      <c r="M371">
        <v>9</v>
      </c>
      <c r="N371" t="s">
        <v>27</v>
      </c>
      <c r="O371" t="str">
        <f t="shared" si="20"/>
        <v>2025-03</v>
      </c>
      <c r="P371" t="str">
        <f t="shared" si="21"/>
        <v>High</v>
      </c>
      <c r="Q371" t="str">
        <f t="shared" si="22"/>
        <v>No</v>
      </c>
      <c r="R371" s="10">
        <f t="shared" si="23"/>
        <v>0</v>
      </c>
    </row>
    <row r="372" spans="1:18">
      <c r="A372" t="s">
        <v>700</v>
      </c>
      <c r="B372" t="s">
        <v>701</v>
      </c>
      <c r="C372" t="s">
        <v>702</v>
      </c>
      <c r="D372" t="s">
        <v>21</v>
      </c>
      <c r="E372" t="s">
        <v>22</v>
      </c>
      <c r="F372" t="s">
        <v>58</v>
      </c>
      <c r="G372" s="7">
        <v>45754</v>
      </c>
      <c r="H372">
        <v>144</v>
      </c>
      <c r="I372">
        <v>29.52</v>
      </c>
      <c r="J372" t="s">
        <v>129</v>
      </c>
      <c r="K372" t="s">
        <v>66</v>
      </c>
      <c r="L372" t="s">
        <v>26</v>
      </c>
      <c r="M372">
        <v>36</v>
      </c>
      <c r="N372" t="s">
        <v>27</v>
      </c>
      <c r="O372" t="str">
        <f t="shared" si="20"/>
        <v>2025-04</v>
      </c>
      <c r="P372" t="str">
        <f t="shared" si="21"/>
        <v>High</v>
      </c>
      <c r="Q372" t="str">
        <f t="shared" si="22"/>
        <v>Yes</v>
      </c>
      <c r="R372" s="10">
        <f t="shared" si="23"/>
        <v>0</v>
      </c>
    </row>
    <row r="373" spans="1:18">
      <c r="A373" t="s">
        <v>117</v>
      </c>
      <c r="B373" t="s">
        <v>118</v>
      </c>
      <c r="C373" t="s">
        <v>119</v>
      </c>
      <c r="D373" t="s">
        <v>21</v>
      </c>
      <c r="E373" t="s">
        <v>34</v>
      </c>
      <c r="F373" t="s">
        <v>58</v>
      </c>
      <c r="G373" s="7">
        <v>45655</v>
      </c>
      <c r="H373">
        <v>83</v>
      </c>
      <c r="I373">
        <v>0</v>
      </c>
      <c r="J373" t="s">
        <v>36</v>
      </c>
      <c r="K373" t="s">
        <v>25</v>
      </c>
      <c r="L373" t="s">
        <v>37</v>
      </c>
      <c r="M373">
        <v>49</v>
      </c>
      <c r="N373" t="s">
        <v>27</v>
      </c>
      <c r="O373" t="str">
        <f t="shared" si="20"/>
        <v>2024-12</v>
      </c>
      <c r="P373" t="str">
        <f t="shared" si="21"/>
        <v>High</v>
      </c>
      <c r="Q373" t="str">
        <f t="shared" si="22"/>
        <v>No</v>
      </c>
      <c r="R373" s="10">
        <f t="shared" si="23"/>
        <v>0</v>
      </c>
    </row>
    <row r="374" spans="1:18">
      <c r="A374" t="s">
        <v>1006</v>
      </c>
      <c r="B374" t="s">
        <v>1007</v>
      </c>
      <c r="C374" t="s">
        <v>1008</v>
      </c>
      <c r="D374" t="s">
        <v>62</v>
      </c>
      <c r="E374" t="s">
        <v>34</v>
      </c>
      <c r="F374" t="s">
        <v>35</v>
      </c>
      <c r="G374" s="7">
        <v>45811</v>
      </c>
      <c r="H374">
        <v>128</v>
      </c>
      <c r="I374">
        <v>0</v>
      </c>
      <c r="J374" t="s">
        <v>36</v>
      </c>
      <c r="K374" t="s">
        <v>25</v>
      </c>
      <c r="L374" t="s">
        <v>26</v>
      </c>
      <c r="M374">
        <v>29</v>
      </c>
      <c r="N374" t="s">
        <v>27</v>
      </c>
      <c r="O374" t="str">
        <f t="shared" si="20"/>
        <v>2025-06</v>
      </c>
      <c r="P374" t="str">
        <f t="shared" si="21"/>
        <v>High</v>
      </c>
      <c r="Q374" t="str">
        <f t="shared" si="22"/>
        <v>No</v>
      </c>
      <c r="R374" s="10">
        <f t="shared" si="23"/>
        <v>0</v>
      </c>
    </row>
    <row r="375" spans="1:18">
      <c r="A375" t="s">
        <v>1407</v>
      </c>
      <c r="B375" t="s">
        <v>1408</v>
      </c>
      <c r="C375" t="s">
        <v>1409</v>
      </c>
      <c r="D375" t="s">
        <v>21</v>
      </c>
      <c r="E375" t="s">
        <v>34</v>
      </c>
      <c r="F375" t="s">
        <v>73</v>
      </c>
      <c r="G375" s="7">
        <v>45775</v>
      </c>
      <c r="H375">
        <v>59</v>
      </c>
      <c r="I375">
        <v>0</v>
      </c>
      <c r="J375" t="s">
        <v>36</v>
      </c>
      <c r="K375" t="s">
        <v>25</v>
      </c>
      <c r="L375" t="s">
        <v>37</v>
      </c>
      <c r="M375">
        <v>36</v>
      </c>
      <c r="N375" t="s">
        <v>27</v>
      </c>
      <c r="O375" t="str">
        <f t="shared" si="20"/>
        <v>2025-04</v>
      </c>
      <c r="P375" t="str">
        <f t="shared" si="21"/>
        <v>Medium</v>
      </c>
      <c r="Q375" t="str">
        <f t="shared" si="22"/>
        <v>No</v>
      </c>
      <c r="R375" s="10">
        <f t="shared" si="23"/>
        <v>0</v>
      </c>
    </row>
    <row r="376" spans="1:18">
      <c r="A376" t="s">
        <v>907</v>
      </c>
      <c r="B376" t="s">
        <v>908</v>
      </c>
      <c r="C376" t="s">
        <v>909</v>
      </c>
      <c r="D376" t="s">
        <v>21</v>
      </c>
      <c r="E376" t="s">
        <v>42</v>
      </c>
      <c r="F376" t="s">
        <v>35</v>
      </c>
      <c r="G376" s="7">
        <v>45786</v>
      </c>
      <c r="H376">
        <v>79</v>
      </c>
      <c r="I376">
        <v>20.5</v>
      </c>
      <c r="J376" t="s">
        <v>24</v>
      </c>
      <c r="K376" t="s">
        <v>25</v>
      </c>
      <c r="L376" t="s">
        <v>26</v>
      </c>
      <c r="M376">
        <v>5</v>
      </c>
      <c r="N376" t="s">
        <v>27</v>
      </c>
      <c r="O376" t="str">
        <f t="shared" si="20"/>
        <v>2025-05</v>
      </c>
      <c r="P376" t="str">
        <f t="shared" si="21"/>
        <v>High</v>
      </c>
      <c r="Q376" t="str">
        <f t="shared" si="22"/>
        <v>Yes</v>
      </c>
      <c r="R376" s="10">
        <f t="shared" si="23"/>
        <v>0</v>
      </c>
    </row>
    <row r="377" spans="1:18">
      <c r="A377" t="s">
        <v>111</v>
      </c>
      <c r="B377" t="s">
        <v>112</v>
      </c>
      <c r="C377" t="s">
        <v>113</v>
      </c>
      <c r="D377" t="s">
        <v>57</v>
      </c>
      <c r="E377" t="s">
        <v>34</v>
      </c>
      <c r="F377" t="s">
        <v>80</v>
      </c>
      <c r="G377" s="7">
        <v>45651</v>
      </c>
      <c r="H377">
        <v>167</v>
      </c>
      <c r="I377">
        <v>0</v>
      </c>
      <c r="J377" t="s">
        <v>36</v>
      </c>
      <c r="K377" t="s">
        <v>25</v>
      </c>
      <c r="L377" t="s">
        <v>26</v>
      </c>
      <c r="M377">
        <v>37</v>
      </c>
      <c r="N377" t="s">
        <v>30</v>
      </c>
      <c r="O377" t="str">
        <f t="shared" si="20"/>
        <v>2024-12</v>
      </c>
      <c r="P377" t="str">
        <f t="shared" si="21"/>
        <v>High</v>
      </c>
      <c r="Q377" t="str">
        <f t="shared" si="22"/>
        <v>No</v>
      </c>
      <c r="R377" s="10">
        <f t="shared" si="23"/>
        <v>1</v>
      </c>
    </row>
    <row r="378" spans="1:18">
      <c r="A378" t="s">
        <v>691</v>
      </c>
      <c r="B378" t="s">
        <v>692</v>
      </c>
      <c r="C378" t="s">
        <v>693</v>
      </c>
      <c r="D378" t="s">
        <v>57</v>
      </c>
      <c r="E378" t="s">
        <v>42</v>
      </c>
      <c r="F378" t="s">
        <v>80</v>
      </c>
      <c r="G378" s="7">
        <v>45765</v>
      </c>
      <c r="H378">
        <v>165</v>
      </c>
      <c r="I378">
        <v>21.99</v>
      </c>
      <c r="J378" t="s">
        <v>24</v>
      </c>
      <c r="K378" t="s">
        <v>66</v>
      </c>
      <c r="L378" t="s">
        <v>26</v>
      </c>
      <c r="M378">
        <v>45</v>
      </c>
      <c r="N378" t="s">
        <v>30</v>
      </c>
      <c r="O378" t="str">
        <f t="shared" si="20"/>
        <v>2025-04</v>
      </c>
      <c r="P378" t="str">
        <f t="shared" si="21"/>
        <v>High</v>
      </c>
      <c r="Q378" t="str">
        <f t="shared" si="22"/>
        <v>Yes</v>
      </c>
      <c r="R378" s="10">
        <f t="shared" si="23"/>
        <v>1</v>
      </c>
    </row>
    <row r="379" spans="1:18">
      <c r="A379" t="s">
        <v>904</v>
      </c>
      <c r="B379" t="s">
        <v>905</v>
      </c>
      <c r="C379" t="s">
        <v>906</v>
      </c>
      <c r="D379" t="s">
        <v>57</v>
      </c>
      <c r="E379" t="s">
        <v>42</v>
      </c>
      <c r="F379" t="s">
        <v>80</v>
      </c>
      <c r="G379" s="7">
        <v>45788</v>
      </c>
      <c r="H379">
        <v>109</v>
      </c>
      <c r="I379">
        <v>39.869999999999997</v>
      </c>
      <c r="J379" t="s">
        <v>24</v>
      </c>
      <c r="K379" t="s">
        <v>25</v>
      </c>
      <c r="L379" t="s">
        <v>26</v>
      </c>
      <c r="M379">
        <v>13</v>
      </c>
      <c r="N379" t="s">
        <v>27</v>
      </c>
      <c r="O379" t="str">
        <f t="shared" si="20"/>
        <v>2025-05</v>
      </c>
      <c r="P379" t="str">
        <f t="shared" si="21"/>
        <v>High</v>
      </c>
      <c r="Q379" t="str">
        <f t="shared" si="22"/>
        <v>Yes</v>
      </c>
      <c r="R379" s="10">
        <f t="shared" si="23"/>
        <v>0</v>
      </c>
    </row>
    <row r="380" spans="1:18">
      <c r="A380" t="s">
        <v>551</v>
      </c>
      <c r="B380" t="s">
        <v>552</v>
      </c>
      <c r="C380" t="s">
        <v>553</v>
      </c>
      <c r="D380" t="s">
        <v>41</v>
      </c>
      <c r="E380" t="s">
        <v>22</v>
      </c>
      <c r="F380" t="s">
        <v>80</v>
      </c>
      <c r="G380" s="7">
        <v>45733</v>
      </c>
      <c r="H380">
        <v>167</v>
      </c>
      <c r="I380">
        <v>0</v>
      </c>
      <c r="J380" t="s">
        <v>36</v>
      </c>
      <c r="K380" t="s">
        <v>66</v>
      </c>
      <c r="L380" t="s">
        <v>26</v>
      </c>
      <c r="M380">
        <v>28</v>
      </c>
      <c r="N380" t="s">
        <v>30</v>
      </c>
      <c r="O380" t="str">
        <f t="shared" si="20"/>
        <v>2025-03</v>
      </c>
      <c r="P380" t="str">
        <f t="shared" si="21"/>
        <v>High</v>
      </c>
      <c r="Q380" t="str">
        <f t="shared" si="22"/>
        <v>No</v>
      </c>
      <c r="R380" s="10">
        <f t="shared" si="23"/>
        <v>1</v>
      </c>
    </row>
    <row r="381" spans="1:18">
      <c r="A381" t="s">
        <v>1410</v>
      </c>
      <c r="B381" t="s">
        <v>1411</v>
      </c>
      <c r="C381" t="s">
        <v>1412</v>
      </c>
      <c r="D381" t="s">
        <v>62</v>
      </c>
      <c r="E381" t="s">
        <v>22</v>
      </c>
      <c r="F381" t="s">
        <v>73</v>
      </c>
      <c r="G381" s="7">
        <v>45694</v>
      </c>
      <c r="H381">
        <v>36</v>
      </c>
      <c r="I381">
        <v>14.75</v>
      </c>
      <c r="J381" t="s">
        <v>44</v>
      </c>
      <c r="K381" t="s">
        <v>25</v>
      </c>
      <c r="L381" t="s">
        <v>26</v>
      </c>
      <c r="M381">
        <v>46</v>
      </c>
      <c r="N381" t="s">
        <v>27</v>
      </c>
      <c r="O381" t="str">
        <f t="shared" si="20"/>
        <v>2025-02</v>
      </c>
      <c r="P381" t="str">
        <f t="shared" si="21"/>
        <v>Medium</v>
      </c>
      <c r="Q381" t="str">
        <f t="shared" si="22"/>
        <v>Yes</v>
      </c>
      <c r="R381" s="10">
        <f t="shared" si="23"/>
        <v>0</v>
      </c>
    </row>
    <row r="382" spans="1:18">
      <c r="A382" t="s">
        <v>1413</v>
      </c>
      <c r="B382" t="s">
        <v>1414</v>
      </c>
      <c r="C382" t="s">
        <v>1415</v>
      </c>
      <c r="D382" t="s">
        <v>62</v>
      </c>
      <c r="E382" t="s">
        <v>22</v>
      </c>
      <c r="F382" t="s">
        <v>23</v>
      </c>
      <c r="G382" s="7">
        <v>45737</v>
      </c>
      <c r="H382">
        <v>54</v>
      </c>
      <c r="I382">
        <v>0</v>
      </c>
      <c r="J382" t="s">
        <v>36</v>
      </c>
      <c r="K382" t="s">
        <v>25</v>
      </c>
      <c r="L382" t="s">
        <v>37</v>
      </c>
      <c r="M382">
        <v>25</v>
      </c>
      <c r="N382" t="s">
        <v>27</v>
      </c>
      <c r="O382" t="str">
        <f t="shared" si="20"/>
        <v>2025-03</v>
      </c>
      <c r="P382" t="str">
        <f t="shared" si="21"/>
        <v>Medium</v>
      </c>
      <c r="Q382" t="str">
        <f t="shared" si="22"/>
        <v>No</v>
      </c>
      <c r="R382" s="10">
        <f t="shared" si="23"/>
        <v>0</v>
      </c>
    </row>
    <row r="383" spans="1:18">
      <c r="A383" t="s">
        <v>1416</v>
      </c>
      <c r="B383" t="s">
        <v>1417</v>
      </c>
      <c r="C383" t="s">
        <v>1418</v>
      </c>
      <c r="D383" t="s">
        <v>57</v>
      </c>
      <c r="E383" t="s">
        <v>42</v>
      </c>
      <c r="F383" t="s">
        <v>58</v>
      </c>
      <c r="G383" s="7">
        <v>45656</v>
      </c>
      <c r="H383">
        <v>15</v>
      </c>
      <c r="I383">
        <v>0</v>
      </c>
      <c r="J383" t="s">
        <v>36</v>
      </c>
      <c r="K383" t="s">
        <v>25</v>
      </c>
      <c r="L383" t="s">
        <v>37</v>
      </c>
      <c r="M383">
        <v>19</v>
      </c>
      <c r="N383" t="s">
        <v>27</v>
      </c>
      <c r="O383" t="str">
        <f t="shared" si="20"/>
        <v>2024-12</v>
      </c>
      <c r="P383" t="str">
        <f t="shared" si="21"/>
        <v>Low</v>
      </c>
      <c r="Q383" t="str">
        <f t="shared" si="22"/>
        <v>No</v>
      </c>
      <c r="R383" s="10">
        <f t="shared" si="23"/>
        <v>0</v>
      </c>
    </row>
    <row r="384" spans="1:18">
      <c r="A384" t="s">
        <v>688</v>
      </c>
      <c r="B384" t="s">
        <v>689</v>
      </c>
      <c r="C384" t="s">
        <v>690</v>
      </c>
      <c r="D384" t="s">
        <v>62</v>
      </c>
      <c r="E384" t="s">
        <v>42</v>
      </c>
      <c r="F384" t="s">
        <v>35</v>
      </c>
      <c r="G384" s="7">
        <v>45776</v>
      </c>
      <c r="H384">
        <v>101</v>
      </c>
      <c r="I384">
        <v>0</v>
      </c>
      <c r="J384" t="s">
        <v>36</v>
      </c>
      <c r="K384" t="s">
        <v>53</v>
      </c>
      <c r="L384" t="s">
        <v>37</v>
      </c>
      <c r="M384">
        <v>41</v>
      </c>
      <c r="N384" t="s">
        <v>27</v>
      </c>
      <c r="O384" t="str">
        <f t="shared" si="20"/>
        <v>2025-04</v>
      </c>
      <c r="P384" t="str">
        <f t="shared" si="21"/>
        <v>High</v>
      </c>
      <c r="Q384" t="str">
        <f t="shared" si="22"/>
        <v>No</v>
      </c>
      <c r="R384" s="10">
        <f t="shared" si="23"/>
        <v>0</v>
      </c>
    </row>
    <row r="385" spans="1:18">
      <c r="A385" t="s">
        <v>270</v>
      </c>
      <c r="B385" t="s">
        <v>271</v>
      </c>
      <c r="C385" t="s">
        <v>272</v>
      </c>
      <c r="D385" t="s">
        <v>62</v>
      </c>
      <c r="E385" t="s">
        <v>22</v>
      </c>
      <c r="F385" t="s">
        <v>35</v>
      </c>
      <c r="G385" s="7">
        <v>45684</v>
      </c>
      <c r="H385">
        <v>79</v>
      </c>
      <c r="I385">
        <v>0</v>
      </c>
      <c r="J385" t="s">
        <v>36</v>
      </c>
      <c r="K385" t="s">
        <v>25</v>
      </c>
      <c r="L385" t="s">
        <v>37</v>
      </c>
      <c r="M385">
        <v>48</v>
      </c>
      <c r="N385" t="s">
        <v>27</v>
      </c>
      <c r="O385" t="str">
        <f t="shared" si="20"/>
        <v>2025-01</v>
      </c>
      <c r="P385" t="str">
        <f t="shared" si="21"/>
        <v>High</v>
      </c>
      <c r="Q385" t="str">
        <f t="shared" si="22"/>
        <v>No</v>
      </c>
      <c r="R385" s="10">
        <f t="shared" si="23"/>
        <v>0</v>
      </c>
    </row>
    <row r="386" spans="1:18">
      <c r="A386" t="s">
        <v>1419</v>
      </c>
      <c r="B386" t="s">
        <v>1256</v>
      </c>
      <c r="C386" t="s">
        <v>1420</v>
      </c>
      <c r="D386" t="s">
        <v>41</v>
      </c>
      <c r="E386" t="s">
        <v>34</v>
      </c>
      <c r="F386" t="s">
        <v>58</v>
      </c>
      <c r="G386" s="7">
        <v>45751</v>
      </c>
      <c r="H386">
        <v>13</v>
      </c>
      <c r="I386">
        <v>0</v>
      </c>
      <c r="J386" t="s">
        <v>36</v>
      </c>
      <c r="K386" t="s">
        <v>25</v>
      </c>
      <c r="L386" t="s">
        <v>37</v>
      </c>
      <c r="M386">
        <v>13</v>
      </c>
      <c r="N386" t="s">
        <v>27</v>
      </c>
      <c r="O386" t="str">
        <f t="shared" si="20"/>
        <v>2025-04</v>
      </c>
      <c r="P386" t="str">
        <f t="shared" si="21"/>
        <v>Low</v>
      </c>
      <c r="Q386" t="str">
        <f t="shared" si="22"/>
        <v>No</v>
      </c>
      <c r="R386" s="10">
        <f t="shared" si="23"/>
        <v>0</v>
      </c>
    </row>
    <row r="387" spans="1:18">
      <c r="A387" t="s">
        <v>267</v>
      </c>
      <c r="B387" t="s">
        <v>268</v>
      </c>
      <c r="C387" t="s">
        <v>269</v>
      </c>
      <c r="D387" t="s">
        <v>21</v>
      </c>
      <c r="E387" t="s">
        <v>42</v>
      </c>
      <c r="F387" t="s">
        <v>43</v>
      </c>
      <c r="G387" s="7">
        <v>45663</v>
      </c>
      <c r="H387">
        <v>157</v>
      </c>
      <c r="I387">
        <v>0</v>
      </c>
      <c r="J387" t="s">
        <v>36</v>
      </c>
      <c r="K387" t="s">
        <v>25</v>
      </c>
      <c r="L387" t="s">
        <v>37</v>
      </c>
      <c r="M387">
        <v>22</v>
      </c>
      <c r="N387" t="s">
        <v>30</v>
      </c>
      <c r="O387" t="str">
        <f t="shared" ref="O387:O450" si="24">TEXT(G387,"yyyy-mm")</f>
        <v>2025-01</v>
      </c>
      <c r="P387" t="str">
        <f t="shared" ref="P387:P450" si="25">IF(H387&lt;20,"Low",IF(H387&lt;=60,"Medium","High"))</f>
        <v>High</v>
      </c>
      <c r="Q387" t="str">
        <f t="shared" ref="Q387:Q450" si="26">IF(I387&gt;0,"Yes","No")</f>
        <v>No</v>
      </c>
      <c r="R387" s="10">
        <f t="shared" ref="R387:R450" si="27">IF(N387="Yes",1,0)</f>
        <v>1</v>
      </c>
    </row>
    <row r="388" spans="1:18">
      <c r="A388" t="s">
        <v>1421</v>
      </c>
      <c r="B388" t="s">
        <v>1422</v>
      </c>
      <c r="C388" t="s">
        <v>1423</v>
      </c>
      <c r="D388" t="s">
        <v>62</v>
      </c>
      <c r="E388" t="s">
        <v>42</v>
      </c>
      <c r="F388" t="s">
        <v>43</v>
      </c>
      <c r="G388" s="7">
        <v>45813</v>
      </c>
      <c r="H388">
        <v>6</v>
      </c>
      <c r="I388">
        <v>0</v>
      </c>
      <c r="J388" t="s">
        <v>36</v>
      </c>
      <c r="K388" t="s">
        <v>45</v>
      </c>
      <c r="L388" t="s">
        <v>37</v>
      </c>
      <c r="M388">
        <v>7</v>
      </c>
      <c r="N388" t="s">
        <v>27</v>
      </c>
      <c r="O388" t="str">
        <f t="shared" si="24"/>
        <v>2025-06</v>
      </c>
      <c r="P388" t="str">
        <f t="shared" si="25"/>
        <v>Low</v>
      </c>
      <c r="Q388" t="str">
        <f t="shared" si="26"/>
        <v>No</v>
      </c>
      <c r="R388" s="10">
        <f t="shared" si="27"/>
        <v>0</v>
      </c>
    </row>
    <row r="389" spans="1:18">
      <c r="A389" t="s">
        <v>1000</v>
      </c>
      <c r="B389" t="s">
        <v>1001</v>
      </c>
      <c r="C389" t="s">
        <v>1002</v>
      </c>
      <c r="D389" t="s">
        <v>41</v>
      </c>
      <c r="E389" t="s">
        <v>42</v>
      </c>
      <c r="F389" t="s">
        <v>58</v>
      </c>
      <c r="G389" s="7">
        <v>45809</v>
      </c>
      <c r="H389">
        <v>134</v>
      </c>
      <c r="I389">
        <v>0</v>
      </c>
      <c r="J389" t="s">
        <v>36</v>
      </c>
      <c r="K389" t="s">
        <v>25</v>
      </c>
      <c r="L389" t="s">
        <v>37</v>
      </c>
      <c r="M389">
        <v>28</v>
      </c>
      <c r="N389" t="s">
        <v>27</v>
      </c>
      <c r="O389" t="str">
        <f t="shared" si="24"/>
        <v>2025-06</v>
      </c>
      <c r="P389" t="str">
        <f t="shared" si="25"/>
        <v>High</v>
      </c>
      <c r="Q389" t="str">
        <f t="shared" si="26"/>
        <v>No</v>
      </c>
      <c r="R389" s="10">
        <f t="shared" si="27"/>
        <v>0</v>
      </c>
    </row>
    <row r="390" spans="1:18">
      <c r="A390" t="s">
        <v>892</v>
      </c>
      <c r="B390" t="s">
        <v>893</v>
      </c>
      <c r="C390" t="s">
        <v>894</v>
      </c>
      <c r="D390" t="s">
        <v>49</v>
      </c>
      <c r="E390" t="s">
        <v>34</v>
      </c>
      <c r="F390" t="s">
        <v>43</v>
      </c>
      <c r="G390" s="7">
        <v>45803</v>
      </c>
      <c r="H390">
        <v>76</v>
      </c>
      <c r="I390">
        <v>37.020000000000003</v>
      </c>
      <c r="J390" t="s">
        <v>44</v>
      </c>
      <c r="K390" t="s">
        <v>25</v>
      </c>
      <c r="L390" t="s">
        <v>26</v>
      </c>
      <c r="M390">
        <v>4</v>
      </c>
      <c r="N390" t="s">
        <v>27</v>
      </c>
      <c r="O390" t="str">
        <f t="shared" si="24"/>
        <v>2025-05</v>
      </c>
      <c r="P390" t="str">
        <f t="shared" si="25"/>
        <v>High</v>
      </c>
      <c r="Q390" t="str">
        <f t="shared" si="26"/>
        <v>Yes</v>
      </c>
      <c r="R390" s="10">
        <f t="shared" si="27"/>
        <v>0</v>
      </c>
    </row>
    <row r="391" spans="1:18">
      <c r="A391" t="s">
        <v>889</v>
      </c>
      <c r="B391" t="s">
        <v>890</v>
      </c>
      <c r="C391" t="s">
        <v>891</v>
      </c>
      <c r="D391" t="s">
        <v>21</v>
      </c>
      <c r="E391" t="s">
        <v>42</v>
      </c>
      <c r="F391" t="s">
        <v>73</v>
      </c>
      <c r="G391" s="7">
        <v>45783</v>
      </c>
      <c r="H391">
        <v>71</v>
      </c>
      <c r="I391">
        <v>0</v>
      </c>
      <c r="J391" t="s">
        <v>36</v>
      </c>
      <c r="K391" t="s">
        <v>25</v>
      </c>
      <c r="L391" t="s">
        <v>37</v>
      </c>
      <c r="M391">
        <v>46</v>
      </c>
      <c r="N391" t="s">
        <v>27</v>
      </c>
      <c r="O391" t="str">
        <f t="shared" si="24"/>
        <v>2025-05</v>
      </c>
      <c r="P391" t="str">
        <f t="shared" si="25"/>
        <v>High</v>
      </c>
      <c r="Q391" t="str">
        <f t="shared" si="26"/>
        <v>No</v>
      </c>
      <c r="R391" s="10">
        <f t="shared" si="27"/>
        <v>0</v>
      </c>
    </row>
    <row r="392" spans="1:18">
      <c r="A392" t="s">
        <v>1424</v>
      </c>
      <c r="B392" t="s">
        <v>642</v>
      </c>
      <c r="C392" t="s">
        <v>1425</v>
      </c>
      <c r="D392" t="s">
        <v>62</v>
      </c>
      <c r="E392" t="s">
        <v>34</v>
      </c>
      <c r="F392" t="s">
        <v>73</v>
      </c>
      <c r="G392" s="7">
        <v>45660</v>
      </c>
      <c r="H392">
        <v>49</v>
      </c>
      <c r="I392">
        <v>19.43</v>
      </c>
      <c r="J392" t="s">
        <v>44</v>
      </c>
      <c r="K392" t="s">
        <v>25</v>
      </c>
      <c r="L392" t="s">
        <v>26</v>
      </c>
      <c r="M392">
        <v>22</v>
      </c>
      <c r="N392" t="s">
        <v>27</v>
      </c>
      <c r="O392" t="str">
        <f t="shared" si="24"/>
        <v>2025-01</v>
      </c>
      <c r="P392" t="str">
        <f t="shared" si="25"/>
        <v>Medium</v>
      </c>
      <c r="Q392" t="str">
        <f t="shared" si="26"/>
        <v>Yes</v>
      </c>
      <c r="R392" s="10">
        <f t="shared" si="27"/>
        <v>0</v>
      </c>
    </row>
    <row r="393" spans="1:18">
      <c r="A393" t="s">
        <v>883</v>
      </c>
      <c r="B393" t="s">
        <v>884</v>
      </c>
      <c r="C393" t="s">
        <v>885</v>
      </c>
      <c r="D393" t="s">
        <v>21</v>
      </c>
      <c r="E393" t="s">
        <v>22</v>
      </c>
      <c r="F393" t="s">
        <v>23</v>
      </c>
      <c r="G393" s="7">
        <v>45808</v>
      </c>
      <c r="H393">
        <v>143</v>
      </c>
      <c r="I393">
        <v>0</v>
      </c>
      <c r="J393" t="s">
        <v>36</v>
      </c>
      <c r="K393" t="s">
        <v>53</v>
      </c>
      <c r="L393" t="s">
        <v>37</v>
      </c>
      <c r="M393">
        <v>17</v>
      </c>
      <c r="N393" t="s">
        <v>27</v>
      </c>
      <c r="O393" t="str">
        <f t="shared" si="24"/>
        <v>2025-05</v>
      </c>
      <c r="P393" t="str">
        <f t="shared" si="25"/>
        <v>High</v>
      </c>
      <c r="Q393" t="str">
        <f t="shared" si="26"/>
        <v>No</v>
      </c>
      <c r="R393" s="10">
        <f t="shared" si="27"/>
        <v>0</v>
      </c>
    </row>
    <row r="394" spans="1:18">
      <c r="A394" t="s">
        <v>436</v>
      </c>
      <c r="B394" t="s">
        <v>437</v>
      </c>
      <c r="C394" t="s">
        <v>438</v>
      </c>
      <c r="D394" t="s">
        <v>49</v>
      </c>
      <c r="E394" t="s">
        <v>22</v>
      </c>
      <c r="F394" t="s">
        <v>73</v>
      </c>
      <c r="G394" s="7">
        <v>45703</v>
      </c>
      <c r="H394">
        <v>166</v>
      </c>
      <c r="I394">
        <v>0</v>
      </c>
      <c r="J394" t="s">
        <v>36</v>
      </c>
      <c r="K394" t="s">
        <v>25</v>
      </c>
      <c r="L394" t="s">
        <v>37</v>
      </c>
      <c r="M394">
        <v>39</v>
      </c>
      <c r="N394" t="s">
        <v>30</v>
      </c>
      <c r="O394" t="str">
        <f t="shared" si="24"/>
        <v>2025-02</v>
      </c>
      <c r="P394" t="str">
        <f t="shared" si="25"/>
        <v>High</v>
      </c>
      <c r="Q394" t="str">
        <f t="shared" si="26"/>
        <v>No</v>
      </c>
      <c r="R394" s="10">
        <f t="shared" si="27"/>
        <v>1</v>
      </c>
    </row>
    <row r="395" spans="1:18">
      <c r="A395" t="s">
        <v>1426</v>
      </c>
      <c r="B395" t="s">
        <v>1427</v>
      </c>
      <c r="C395" t="s">
        <v>1428</v>
      </c>
      <c r="D395" t="s">
        <v>21</v>
      </c>
      <c r="E395" t="s">
        <v>34</v>
      </c>
      <c r="F395" t="s">
        <v>43</v>
      </c>
      <c r="G395" s="7">
        <v>45806</v>
      </c>
      <c r="H395">
        <v>34</v>
      </c>
      <c r="I395">
        <v>0</v>
      </c>
      <c r="J395" t="s">
        <v>36</v>
      </c>
      <c r="K395" t="s">
        <v>25</v>
      </c>
      <c r="L395" t="s">
        <v>37</v>
      </c>
      <c r="M395">
        <v>45</v>
      </c>
      <c r="N395" t="s">
        <v>27</v>
      </c>
      <c r="O395" t="str">
        <f t="shared" si="24"/>
        <v>2025-05</v>
      </c>
      <c r="P395" t="str">
        <f t="shared" si="25"/>
        <v>Medium</v>
      </c>
      <c r="Q395" t="str">
        <f t="shared" si="26"/>
        <v>No</v>
      </c>
      <c r="R395" s="10">
        <f t="shared" si="27"/>
        <v>0</v>
      </c>
    </row>
    <row r="396" spans="1:18">
      <c r="A396" t="s">
        <v>1429</v>
      </c>
      <c r="B396" t="s">
        <v>1430</v>
      </c>
      <c r="C396" t="s">
        <v>1431</v>
      </c>
      <c r="D396" t="s">
        <v>49</v>
      </c>
      <c r="E396" t="s">
        <v>42</v>
      </c>
      <c r="F396" t="s">
        <v>73</v>
      </c>
      <c r="G396" s="7">
        <v>45685</v>
      </c>
      <c r="H396">
        <v>57</v>
      </c>
      <c r="I396">
        <v>0</v>
      </c>
      <c r="J396" t="s">
        <v>36</v>
      </c>
      <c r="K396" t="s">
        <v>25</v>
      </c>
      <c r="L396" t="s">
        <v>37</v>
      </c>
      <c r="M396">
        <v>1</v>
      </c>
      <c r="N396" t="s">
        <v>27</v>
      </c>
      <c r="O396" t="str">
        <f t="shared" si="24"/>
        <v>2025-01</v>
      </c>
      <c r="P396" t="str">
        <f t="shared" si="25"/>
        <v>Medium</v>
      </c>
      <c r="Q396" t="str">
        <f t="shared" si="26"/>
        <v>No</v>
      </c>
      <c r="R396" s="10">
        <f t="shared" si="27"/>
        <v>0</v>
      </c>
    </row>
    <row r="397" spans="1:18">
      <c r="A397" t="s">
        <v>548</v>
      </c>
      <c r="B397" t="s">
        <v>549</v>
      </c>
      <c r="C397" t="s">
        <v>550</v>
      </c>
      <c r="D397" t="s">
        <v>62</v>
      </c>
      <c r="E397" t="s">
        <v>22</v>
      </c>
      <c r="F397" t="s">
        <v>35</v>
      </c>
      <c r="G397" s="7">
        <v>45739</v>
      </c>
      <c r="H397">
        <v>88</v>
      </c>
      <c r="I397">
        <v>0</v>
      </c>
      <c r="J397" t="s">
        <v>36</v>
      </c>
      <c r="K397" t="s">
        <v>25</v>
      </c>
      <c r="L397" t="s">
        <v>37</v>
      </c>
      <c r="M397">
        <v>2</v>
      </c>
      <c r="N397" t="s">
        <v>27</v>
      </c>
      <c r="O397" t="str">
        <f t="shared" si="24"/>
        <v>2025-03</v>
      </c>
      <c r="P397" t="str">
        <f t="shared" si="25"/>
        <v>High</v>
      </c>
      <c r="Q397" t="str">
        <f t="shared" si="26"/>
        <v>No</v>
      </c>
      <c r="R397" s="10">
        <f t="shared" si="27"/>
        <v>0</v>
      </c>
    </row>
    <row r="398" spans="1:18">
      <c r="A398" t="s">
        <v>877</v>
      </c>
      <c r="B398" t="s">
        <v>878</v>
      </c>
      <c r="C398" t="s">
        <v>879</v>
      </c>
      <c r="D398" t="s">
        <v>57</v>
      </c>
      <c r="E398" t="s">
        <v>22</v>
      </c>
      <c r="F398" t="s">
        <v>58</v>
      </c>
      <c r="G398" s="7">
        <v>45784</v>
      </c>
      <c r="H398">
        <v>75</v>
      </c>
      <c r="I398">
        <v>0</v>
      </c>
      <c r="J398" t="s">
        <v>36</v>
      </c>
      <c r="K398" t="s">
        <v>25</v>
      </c>
      <c r="L398" t="s">
        <v>37</v>
      </c>
      <c r="M398">
        <v>13</v>
      </c>
      <c r="N398" t="s">
        <v>27</v>
      </c>
      <c r="O398" t="str">
        <f t="shared" si="24"/>
        <v>2025-05</v>
      </c>
      <c r="P398" t="str">
        <f t="shared" si="25"/>
        <v>High</v>
      </c>
      <c r="Q398" t="str">
        <f t="shared" si="26"/>
        <v>No</v>
      </c>
      <c r="R398" s="10">
        <f t="shared" si="27"/>
        <v>0</v>
      </c>
    </row>
    <row r="399" spans="1:18">
      <c r="A399" t="s">
        <v>433</v>
      </c>
      <c r="B399" t="s">
        <v>434</v>
      </c>
      <c r="C399" t="s">
        <v>435</v>
      </c>
      <c r="D399" t="s">
        <v>62</v>
      </c>
      <c r="E399" t="s">
        <v>34</v>
      </c>
      <c r="F399" t="s">
        <v>35</v>
      </c>
      <c r="G399" s="7">
        <v>45703</v>
      </c>
      <c r="H399">
        <v>129</v>
      </c>
      <c r="I399">
        <v>0</v>
      </c>
      <c r="J399" t="s">
        <v>36</v>
      </c>
      <c r="K399" t="s">
        <v>53</v>
      </c>
      <c r="L399" t="s">
        <v>37</v>
      </c>
      <c r="M399">
        <v>37</v>
      </c>
      <c r="N399" t="s">
        <v>27</v>
      </c>
      <c r="O399" t="str">
        <f t="shared" si="24"/>
        <v>2025-02</v>
      </c>
      <c r="P399" t="str">
        <f t="shared" si="25"/>
        <v>High</v>
      </c>
      <c r="Q399" t="str">
        <f t="shared" si="26"/>
        <v>No</v>
      </c>
      <c r="R399" s="10">
        <f t="shared" si="27"/>
        <v>0</v>
      </c>
    </row>
    <row r="400" spans="1:18">
      <c r="A400" t="s">
        <v>682</v>
      </c>
      <c r="B400" t="s">
        <v>683</v>
      </c>
      <c r="C400" t="s">
        <v>684</v>
      </c>
      <c r="D400" t="s">
        <v>21</v>
      </c>
      <c r="E400" t="s">
        <v>42</v>
      </c>
      <c r="F400" t="s">
        <v>35</v>
      </c>
      <c r="G400" s="7">
        <v>45753</v>
      </c>
      <c r="H400">
        <v>145</v>
      </c>
      <c r="I400">
        <v>0</v>
      </c>
      <c r="J400" t="s">
        <v>36</v>
      </c>
      <c r="K400" t="s">
        <v>25</v>
      </c>
      <c r="L400" t="s">
        <v>37</v>
      </c>
      <c r="M400">
        <v>43</v>
      </c>
      <c r="N400" t="s">
        <v>27</v>
      </c>
      <c r="O400" t="str">
        <f t="shared" si="24"/>
        <v>2025-04</v>
      </c>
      <c r="P400" t="str">
        <f t="shared" si="25"/>
        <v>High</v>
      </c>
      <c r="Q400" t="str">
        <f t="shared" si="26"/>
        <v>No</v>
      </c>
      <c r="R400" s="10">
        <f t="shared" si="27"/>
        <v>0</v>
      </c>
    </row>
    <row r="401" spans="1:18">
      <c r="A401" t="s">
        <v>1432</v>
      </c>
      <c r="B401" t="s">
        <v>1433</v>
      </c>
      <c r="C401" t="s">
        <v>1434</v>
      </c>
      <c r="D401" t="s">
        <v>21</v>
      </c>
      <c r="E401" t="s">
        <v>42</v>
      </c>
      <c r="F401" t="s">
        <v>58</v>
      </c>
      <c r="G401" s="7">
        <v>45679</v>
      </c>
      <c r="H401">
        <v>23</v>
      </c>
      <c r="I401">
        <v>0</v>
      </c>
      <c r="J401" t="s">
        <v>36</v>
      </c>
      <c r="K401" t="s">
        <v>25</v>
      </c>
      <c r="L401" t="s">
        <v>26</v>
      </c>
      <c r="M401">
        <v>26</v>
      </c>
      <c r="N401" t="s">
        <v>27</v>
      </c>
      <c r="O401" t="str">
        <f t="shared" si="24"/>
        <v>2025-01</v>
      </c>
      <c r="P401" t="str">
        <f t="shared" si="25"/>
        <v>Medium</v>
      </c>
      <c r="Q401" t="str">
        <f t="shared" si="26"/>
        <v>No</v>
      </c>
      <c r="R401" s="10">
        <f t="shared" si="27"/>
        <v>0</v>
      </c>
    </row>
    <row r="402" spans="1:18">
      <c r="A402" t="s">
        <v>871</v>
      </c>
      <c r="B402" t="s">
        <v>872</v>
      </c>
      <c r="C402" t="s">
        <v>873</v>
      </c>
      <c r="D402" t="s">
        <v>62</v>
      </c>
      <c r="E402" t="s">
        <v>22</v>
      </c>
      <c r="F402" t="s">
        <v>58</v>
      </c>
      <c r="G402" s="7">
        <v>45803</v>
      </c>
      <c r="H402">
        <v>105</v>
      </c>
      <c r="I402">
        <v>0</v>
      </c>
      <c r="J402" t="s">
        <v>36</v>
      </c>
      <c r="K402" t="s">
        <v>25</v>
      </c>
      <c r="L402" t="s">
        <v>37</v>
      </c>
      <c r="M402">
        <v>24</v>
      </c>
      <c r="N402" t="s">
        <v>27</v>
      </c>
      <c r="O402" t="str">
        <f t="shared" si="24"/>
        <v>2025-05</v>
      </c>
      <c r="P402" t="str">
        <f t="shared" si="25"/>
        <v>High</v>
      </c>
      <c r="Q402" t="str">
        <f t="shared" si="26"/>
        <v>No</v>
      </c>
      <c r="R402" s="10">
        <f t="shared" si="27"/>
        <v>0</v>
      </c>
    </row>
    <row r="403" spans="1:18">
      <c r="A403" t="s">
        <v>1435</v>
      </c>
      <c r="B403" t="s">
        <v>1436</v>
      </c>
      <c r="C403" t="s">
        <v>1437</v>
      </c>
      <c r="D403" t="s">
        <v>49</v>
      </c>
      <c r="E403" t="s">
        <v>42</v>
      </c>
      <c r="F403" t="s">
        <v>58</v>
      </c>
      <c r="G403" s="7">
        <v>45804</v>
      </c>
      <c r="H403">
        <v>22</v>
      </c>
      <c r="I403">
        <v>42.28</v>
      </c>
      <c r="J403" t="s">
        <v>173</v>
      </c>
      <c r="K403" t="s">
        <v>53</v>
      </c>
      <c r="L403" t="s">
        <v>26</v>
      </c>
      <c r="M403">
        <v>10</v>
      </c>
      <c r="N403" t="s">
        <v>30</v>
      </c>
      <c r="O403" t="str">
        <f t="shared" si="24"/>
        <v>2025-05</v>
      </c>
      <c r="P403" t="str">
        <f t="shared" si="25"/>
        <v>Medium</v>
      </c>
      <c r="Q403" t="str">
        <f t="shared" si="26"/>
        <v>Yes</v>
      </c>
      <c r="R403" s="10">
        <f t="shared" si="27"/>
        <v>1</v>
      </c>
    </row>
    <row r="404" spans="1:18">
      <c r="A404" t="s">
        <v>1438</v>
      </c>
      <c r="B404" t="s">
        <v>1439</v>
      </c>
      <c r="C404" t="s">
        <v>1440</v>
      </c>
      <c r="D404" t="s">
        <v>49</v>
      </c>
      <c r="E404" t="s">
        <v>22</v>
      </c>
      <c r="F404" t="s">
        <v>43</v>
      </c>
      <c r="G404" s="7">
        <v>45816</v>
      </c>
      <c r="H404">
        <v>41</v>
      </c>
      <c r="I404">
        <v>24.14</v>
      </c>
      <c r="J404" t="s">
        <v>44</v>
      </c>
      <c r="K404" t="s">
        <v>25</v>
      </c>
      <c r="L404" t="s">
        <v>26</v>
      </c>
      <c r="M404">
        <v>28</v>
      </c>
      <c r="N404" t="s">
        <v>27</v>
      </c>
      <c r="O404" t="str">
        <f t="shared" si="24"/>
        <v>2025-06</v>
      </c>
      <c r="P404" t="str">
        <f t="shared" si="25"/>
        <v>Medium</v>
      </c>
      <c r="Q404" t="str">
        <f t="shared" si="26"/>
        <v>Yes</v>
      </c>
      <c r="R404" s="10">
        <f t="shared" si="27"/>
        <v>0</v>
      </c>
    </row>
    <row r="405" spans="1:18">
      <c r="A405" t="s">
        <v>1441</v>
      </c>
      <c r="B405" t="s">
        <v>1442</v>
      </c>
      <c r="C405" t="s">
        <v>1443</v>
      </c>
      <c r="D405" t="s">
        <v>62</v>
      </c>
      <c r="E405" t="s">
        <v>42</v>
      </c>
      <c r="F405" t="s">
        <v>43</v>
      </c>
      <c r="G405" s="7">
        <v>45798</v>
      </c>
      <c r="H405">
        <v>9</v>
      </c>
      <c r="I405">
        <v>0</v>
      </c>
      <c r="J405" t="s">
        <v>36</v>
      </c>
      <c r="K405" t="s">
        <v>66</v>
      </c>
      <c r="L405" t="s">
        <v>37</v>
      </c>
      <c r="M405">
        <v>40</v>
      </c>
      <c r="N405" t="s">
        <v>27</v>
      </c>
      <c r="O405" t="str">
        <f t="shared" si="24"/>
        <v>2025-05</v>
      </c>
      <c r="P405" t="str">
        <f t="shared" si="25"/>
        <v>Low</v>
      </c>
      <c r="Q405" t="str">
        <f t="shared" si="26"/>
        <v>No</v>
      </c>
      <c r="R405" s="10">
        <f t="shared" si="27"/>
        <v>0</v>
      </c>
    </row>
    <row r="406" spans="1:18">
      <c r="A406" t="s">
        <v>427</v>
      </c>
      <c r="B406" t="s">
        <v>428</v>
      </c>
      <c r="C406" t="s">
        <v>429</v>
      </c>
      <c r="D406" t="s">
        <v>41</v>
      </c>
      <c r="E406" t="s">
        <v>42</v>
      </c>
      <c r="F406" t="s">
        <v>58</v>
      </c>
      <c r="G406" s="7">
        <v>45700</v>
      </c>
      <c r="H406">
        <v>111</v>
      </c>
      <c r="I406">
        <v>0</v>
      </c>
      <c r="J406" t="s">
        <v>36</v>
      </c>
      <c r="K406" t="s">
        <v>25</v>
      </c>
      <c r="L406" t="s">
        <v>37</v>
      </c>
      <c r="M406">
        <v>26</v>
      </c>
      <c r="N406" t="s">
        <v>27</v>
      </c>
      <c r="O406" t="str">
        <f t="shared" si="24"/>
        <v>2025-02</v>
      </c>
      <c r="P406" t="str">
        <f t="shared" si="25"/>
        <v>High</v>
      </c>
      <c r="Q406" t="str">
        <f t="shared" si="26"/>
        <v>No</v>
      </c>
      <c r="R406" s="10">
        <f t="shared" si="27"/>
        <v>0</v>
      </c>
    </row>
    <row r="407" spans="1:18">
      <c r="A407" t="s">
        <v>1444</v>
      </c>
      <c r="B407" t="s">
        <v>1445</v>
      </c>
      <c r="C407" t="s">
        <v>1446</v>
      </c>
      <c r="D407" t="s">
        <v>49</v>
      </c>
      <c r="E407" t="s">
        <v>34</v>
      </c>
      <c r="F407" t="s">
        <v>23</v>
      </c>
      <c r="G407" s="7">
        <v>45801</v>
      </c>
      <c r="H407">
        <v>25</v>
      </c>
      <c r="I407">
        <v>0</v>
      </c>
      <c r="J407" t="s">
        <v>36</v>
      </c>
      <c r="K407" t="s">
        <v>25</v>
      </c>
      <c r="L407" t="s">
        <v>37</v>
      </c>
      <c r="M407">
        <v>12</v>
      </c>
      <c r="N407" t="s">
        <v>27</v>
      </c>
      <c r="O407" t="str">
        <f t="shared" si="24"/>
        <v>2025-05</v>
      </c>
      <c r="P407" t="str">
        <f t="shared" si="25"/>
        <v>Medium</v>
      </c>
      <c r="Q407" t="str">
        <f t="shared" si="26"/>
        <v>No</v>
      </c>
      <c r="R407" s="10">
        <f t="shared" si="27"/>
        <v>0</v>
      </c>
    </row>
    <row r="408" spans="1:18">
      <c r="A408" t="s">
        <v>424</v>
      </c>
      <c r="B408" t="s">
        <v>425</v>
      </c>
      <c r="C408" t="s">
        <v>426</v>
      </c>
      <c r="D408" t="s">
        <v>57</v>
      </c>
      <c r="E408" t="s">
        <v>22</v>
      </c>
      <c r="F408" t="s">
        <v>43</v>
      </c>
      <c r="G408" s="7">
        <v>45701</v>
      </c>
      <c r="H408">
        <v>111</v>
      </c>
      <c r="I408">
        <v>46.08</v>
      </c>
      <c r="J408" t="s">
        <v>24</v>
      </c>
      <c r="K408" t="s">
        <v>45</v>
      </c>
      <c r="L408" t="s">
        <v>26</v>
      </c>
      <c r="M408">
        <v>15</v>
      </c>
      <c r="N408" t="s">
        <v>30</v>
      </c>
      <c r="O408" t="str">
        <f t="shared" si="24"/>
        <v>2025-02</v>
      </c>
      <c r="P408" t="str">
        <f t="shared" si="25"/>
        <v>High</v>
      </c>
      <c r="Q408" t="str">
        <f t="shared" si="26"/>
        <v>Yes</v>
      </c>
      <c r="R408" s="10">
        <f t="shared" si="27"/>
        <v>1</v>
      </c>
    </row>
    <row r="409" spans="1:18">
      <c r="A409" t="s">
        <v>421</v>
      </c>
      <c r="B409" t="s">
        <v>422</v>
      </c>
      <c r="C409" t="s">
        <v>423</v>
      </c>
      <c r="D409" t="s">
        <v>62</v>
      </c>
      <c r="E409" t="s">
        <v>42</v>
      </c>
      <c r="F409" t="s">
        <v>35</v>
      </c>
      <c r="G409" s="7">
        <v>45696</v>
      </c>
      <c r="H409">
        <v>144</v>
      </c>
      <c r="I409">
        <v>0</v>
      </c>
      <c r="J409" t="s">
        <v>36</v>
      </c>
      <c r="K409" t="s">
        <v>53</v>
      </c>
      <c r="L409" t="s">
        <v>37</v>
      </c>
      <c r="M409">
        <v>36</v>
      </c>
      <c r="N409" t="s">
        <v>27</v>
      </c>
      <c r="O409" t="str">
        <f t="shared" si="24"/>
        <v>2025-02</v>
      </c>
      <c r="P409" t="str">
        <f t="shared" si="25"/>
        <v>High</v>
      </c>
      <c r="Q409" t="str">
        <f t="shared" si="26"/>
        <v>No</v>
      </c>
      <c r="R409" s="10">
        <f t="shared" si="27"/>
        <v>0</v>
      </c>
    </row>
    <row r="410" spans="1:18">
      <c r="A410" t="s">
        <v>1447</v>
      </c>
      <c r="B410" t="s">
        <v>1448</v>
      </c>
      <c r="C410" t="s">
        <v>1449</v>
      </c>
      <c r="D410" t="s">
        <v>62</v>
      </c>
      <c r="E410" t="s">
        <v>22</v>
      </c>
      <c r="F410" t="s">
        <v>73</v>
      </c>
      <c r="G410" s="7">
        <v>45667</v>
      </c>
      <c r="H410">
        <v>22</v>
      </c>
      <c r="I410">
        <v>17.350000000000001</v>
      </c>
      <c r="J410" t="s">
        <v>44</v>
      </c>
      <c r="K410" t="s">
        <v>45</v>
      </c>
      <c r="L410" t="s">
        <v>26</v>
      </c>
      <c r="M410">
        <v>49</v>
      </c>
      <c r="N410" t="s">
        <v>27</v>
      </c>
      <c r="O410" t="str">
        <f t="shared" si="24"/>
        <v>2025-01</v>
      </c>
      <c r="P410" t="str">
        <f t="shared" si="25"/>
        <v>Medium</v>
      </c>
      <c r="Q410" t="str">
        <f t="shared" si="26"/>
        <v>Yes</v>
      </c>
      <c r="R410" s="10">
        <f t="shared" si="27"/>
        <v>0</v>
      </c>
    </row>
    <row r="411" spans="1:18">
      <c r="A411" t="s">
        <v>418</v>
      </c>
      <c r="B411" t="s">
        <v>419</v>
      </c>
      <c r="C411" t="s">
        <v>420</v>
      </c>
      <c r="D411" t="s">
        <v>49</v>
      </c>
      <c r="E411" t="s">
        <v>42</v>
      </c>
      <c r="F411" t="s">
        <v>43</v>
      </c>
      <c r="G411" s="7">
        <v>45701</v>
      </c>
      <c r="H411">
        <v>154</v>
      </c>
      <c r="I411">
        <v>0</v>
      </c>
      <c r="J411" t="s">
        <v>36</v>
      </c>
      <c r="K411" t="s">
        <v>25</v>
      </c>
      <c r="L411" t="s">
        <v>37</v>
      </c>
      <c r="M411">
        <v>27</v>
      </c>
      <c r="N411" t="s">
        <v>30</v>
      </c>
      <c r="O411" t="str">
        <f t="shared" si="24"/>
        <v>2025-02</v>
      </c>
      <c r="P411" t="str">
        <f t="shared" si="25"/>
        <v>High</v>
      </c>
      <c r="Q411" t="str">
        <f t="shared" si="26"/>
        <v>No</v>
      </c>
      <c r="R411" s="10">
        <f t="shared" si="27"/>
        <v>1</v>
      </c>
    </row>
    <row r="412" spans="1:18">
      <c r="A412" t="s">
        <v>258</v>
      </c>
      <c r="B412" t="s">
        <v>259</v>
      </c>
      <c r="C412" t="s">
        <v>260</v>
      </c>
      <c r="D412" t="s">
        <v>41</v>
      </c>
      <c r="E412" t="s">
        <v>42</v>
      </c>
      <c r="F412" t="s">
        <v>35</v>
      </c>
      <c r="G412" s="7">
        <v>45673</v>
      </c>
      <c r="H412">
        <v>166</v>
      </c>
      <c r="I412">
        <v>0</v>
      </c>
      <c r="J412" t="s">
        <v>36</v>
      </c>
      <c r="K412" t="s">
        <v>53</v>
      </c>
      <c r="L412" t="s">
        <v>37</v>
      </c>
      <c r="M412">
        <v>5</v>
      </c>
      <c r="N412" t="s">
        <v>30</v>
      </c>
      <c r="O412" t="str">
        <f t="shared" si="24"/>
        <v>2025-01</v>
      </c>
      <c r="P412" t="str">
        <f t="shared" si="25"/>
        <v>High</v>
      </c>
      <c r="Q412" t="str">
        <f t="shared" si="26"/>
        <v>No</v>
      </c>
      <c r="R412" s="10">
        <f t="shared" si="27"/>
        <v>1</v>
      </c>
    </row>
    <row r="413" spans="1:18">
      <c r="A413" t="s">
        <v>1450</v>
      </c>
      <c r="B413" t="s">
        <v>1451</v>
      </c>
      <c r="C413" t="s">
        <v>1452</v>
      </c>
      <c r="D413" t="s">
        <v>62</v>
      </c>
      <c r="E413" t="s">
        <v>42</v>
      </c>
      <c r="F413" t="s">
        <v>35</v>
      </c>
      <c r="G413" s="7">
        <v>45779</v>
      </c>
      <c r="H413">
        <v>16</v>
      </c>
      <c r="I413">
        <v>0</v>
      </c>
      <c r="J413" t="s">
        <v>36</v>
      </c>
      <c r="K413" t="s">
        <v>25</v>
      </c>
      <c r="L413" t="s">
        <v>26</v>
      </c>
      <c r="M413">
        <v>16</v>
      </c>
      <c r="N413" t="s">
        <v>27</v>
      </c>
      <c r="O413" t="str">
        <f t="shared" si="24"/>
        <v>2025-05</v>
      </c>
      <c r="P413" t="str">
        <f t="shared" si="25"/>
        <v>Low</v>
      </c>
      <c r="Q413" t="str">
        <f t="shared" si="26"/>
        <v>No</v>
      </c>
      <c r="R413" s="10">
        <f t="shared" si="27"/>
        <v>0</v>
      </c>
    </row>
    <row r="414" spans="1:18">
      <c r="A414" t="s">
        <v>255</v>
      </c>
      <c r="B414" t="s">
        <v>256</v>
      </c>
      <c r="C414" t="s">
        <v>257</v>
      </c>
      <c r="D414" t="s">
        <v>49</v>
      </c>
      <c r="E414" t="s">
        <v>42</v>
      </c>
      <c r="F414" t="s">
        <v>43</v>
      </c>
      <c r="G414" s="7">
        <v>45677</v>
      </c>
      <c r="H414">
        <v>144</v>
      </c>
      <c r="I414">
        <v>0</v>
      </c>
      <c r="J414" t="s">
        <v>36</v>
      </c>
      <c r="K414" t="s">
        <v>25</v>
      </c>
      <c r="L414" t="s">
        <v>37</v>
      </c>
      <c r="M414">
        <v>3</v>
      </c>
      <c r="N414" t="s">
        <v>27</v>
      </c>
      <c r="O414" t="str">
        <f t="shared" si="24"/>
        <v>2025-01</v>
      </c>
      <c r="P414" t="str">
        <f t="shared" si="25"/>
        <v>High</v>
      </c>
      <c r="Q414" t="str">
        <f t="shared" si="26"/>
        <v>No</v>
      </c>
      <c r="R414" s="10">
        <f t="shared" si="27"/>
        <v>0</v>
      </c>
    </row>
    <row r="415" spans="1:18">
      <c r="A415" t="s">
        <v>1453</v>
      </c>
      <c r="B415" t="s">
        <v>1454</v>
      </c>
      <c r="C415" t="s">
        <v>1455</v>
      </c>
      <c r="D415" t="s">
        <v>21</v>
      </c>
      <c r="E415" t="s">
        <v>22</v>
      </c>
      <c r="F415" t="s">
        <v>23</v>
      </c>
      <c r="G415" s="7">
        <v>45796</v>
      </c>
      <c r="H415">
        <v>58</v>
      </c>
      <c r="I415">
        <v>0</v>
      </c>
      <c r="J415" t="s">
        <v>36</v>
      </c>
      <c r="K415" t="s">
        <v>25</v>
      </c>
      <c r="L415" t="s">
        <v>37</v>
      </c>
      <c r="M415">
        <v>43</v>
      </c>
      <c r="N415" t="s">
        <v>27</v>
      </c>
      <c r="O415" t="str">
        <f t="shared" si="24"/>
        <v>2025-05</v>
      </c>
      <c r="P415" t="str">
        <f t="shared" si="25"/>
        <v>Medium</v>
      </c>
      <c r="Q415" t="str">
        <f t="shared" si="26"/>
        <v>No</v>
      </c>
      <c r="R415" s="10">
        <f t="shared" si="27"/>
        <v>0</v>
      </c>
    </row>
    <row r="416" spans="1:18">
      <c r="A416" t="s">
        <v>860</v>
      </c>
      <c r="B416" t="s">
        <v>861</v>
      </c>
      <c r="C416" t="s">
        <v>862</v>
      </c>
      <c r="D416" t="s">
        <v>41</v>
      </c>
      <c r="E416" t="s">
        <v>42</v>
      </c>
      <c r="F416" t="s">
        <v>73</v>
      </c>
      <c r="G416" s="7">
        <v>45780</v>
      </c>
      <c r="H416">
        <v>95</v>
      </c>
      <c r="I416">
        <v>35.92</v>
      </c>
      <c r="J416" t="s">
        <v>129</v>
      </c>
      <c r="K416" t="s">
        <v>66</v>
      </c>
      <c r="L416" t="s">
        <v>26</v>
      </c>
      <c r="M416">
        <v>6</v>
      </c>
      <c r="N416" t="s">
        <v>27</v>
      </c>
      <c r="O416" t="str">
        <f t="shared" si="24"/>
        <v>2025-05</v>
      </c>
      <c r="P416" t="str">
        <f t="shared" si="25"/>
        <v>High</v>
      </c>
      <c r="Q416" t="str">
        <f t="shared" si="26"/>
        <v>Yes</v>
      </c>
      <c r="R416" s="10">
        <f t="shared" si="27"/>
        <v>0</v>
      </c>
    </row>
    <row r="417" spans="1:18">
      <c r="A417" t="s">
        <v>99</v>
      </c>
      <c r="B417" t="s">
        <v>100</v>
      </c>
      <c r="C417" t="s">
        <v>101</v>
      </c>
      <c r="D417" t="s">
        <v>49</v>
      </c>
      <c r="E417" t="s">
        <v>34</v>
      </c>
      <c r="F417" t="s">
        <v>43</v>
      </c>
      <c r="G417" s="7">
        <v>45657</v>
      </c>
      <c r="H417">
        <v>86</v>
      </c>
      <c r="I417">
        <v>0</v>
      </c>
      <c r="J417" t="s">
        <v>36</v>
      </c>
      <c r="K417" t="s">
        <v>53</v>
      </c>
      <c r="L417" t="s">
        <v>26</v>
      </c>
      <c r="M417">
        <v>17</v>
      </c>
      <c r="N417" t="s">
        <v>27</v>
      </c>
      <c r="O417" t="str">
        <f t="shared" si="24"/>
        <v>2024-12</v>
      </c>
      <c r="P417" t="str">
        <f t="shared" si="25"/>
        <v>High</v>
      </c>
      <c r="Q417" t="str">
        <f t="shared" si="26"/>
        <v>No</v>
      </c>
      <c r="R417" s="10">
        <f t="shared" si="27"/>
        <v>0</v>
      </c>
    </row>
    <row r="418" spans="1:18">
      <c r="A418" t="s">
        <v>1456</v>
      </c>
      <c r="B418" t="s">
        <v>1457</v>
      </c>
      <c r="C418" t="s">
        <v>1458</v>
      </c>
      <c r="D418" t="s">
        <v>49</v>
      </c>
      <c r="E418" t="s">
        <v>42</v>
      </c>
      <c r="F418" t="s">
        <v>73</v>
      </c>
      <c r="G418" s="7">
        <v>45663</v>
      </c>
      <c r="H418">
        <v>12</v>
      </c>
      <c r="I418">
        <v>1.44</v>
      </c>
      <c r="J418" t="s">
        <v>24</v>
      </c>
      <c r="K418" t="s">
        <v>25</v>
      </c>
      <c r="L418" t="s">
        <v>26</v>
      </c>
      <c r="M418">
        <v>15</v>
      </c>
      <c r="N418" t="s">
        <v>27</v>
      </c>
      <c r="O418" t="str">
        <f t="shared" si="24"/>
        <v>2025-01</v>
      </c>
      <c r="P418" t="str">
        <f t="shared" si="25"/>
        <v>Low</v>
      </c>
      <c r="Q418" t="str">
        <f t="shared" si="26"/>
        <v>Yes</v>
      </c>
      <c r="R418" s="10">
        <f t="shared" si="27"/>
        <v>0</v>
      </c>
    </row>
    <row r="419" spans="1:18">
      <c r="A419" t="s">
        <v>1459</v>
      </c>
      <c r="B419" t="s">
        <v>1460</v>
      </c>
      <c r="C419" t="s">
        <v>1461</v>
      </c>
      <c r="D419" t="s">
        <v>41</v>
      </c>
      <c r="E419" t="s">
        <v>34</v>
      </c>
      <c r="F419" t="s">
        <v>80</v>
      </c>
      <c r="G419" s="7">
        <v>45811</v>
      </c>
      <c r="H419">
        <v>8</v>
      </c>
      <c r="I419">
        <v>2.1</v>
      </c>
      <c r="J419" t="s">
        <v>24</v>
      </c>
      <c r="K419" t="s">
        <v>66</v>
      </c>
      <c r="L419" t="s">
        <v>26</v>
      </c>
      <c r="M419">
        <v>44</v>
      </c>
      <c r="N419" t="s">
        <v>27</v>
      </c>
      <c r="O419" t="str">
        <f t="shared" si="24"/>
        <v>2025-06</v>
      </c>
      <c r="P419" t="str">
        <f t="shared" si="25"/>
        <v>Low</v>
      </c>
      <c r="Q419" t="str">
        <f t="shared" si="26"/>
        <v>Yes</v>
      </c>
      <c r="R419" s="10">
        <f t="shared" si="27"/>
        <v>0</v>
      </c>
    </row>
    <row r="420" spans="1:18">
      <c r="A420" t="s">
        <v>670</v>
      </c>
      <c r="B420" t="s">
        <v>671</v>
      </c>
      <c r="C420" t="s">
        <v>672</v>
      </c>
      <c r="D420" t="s">
        <v>57</v>
      </c>
      <c r="E420" t="s">
        <v>22</v>
      </c>
      <c r="F420" t="s">
        <v>23</v>
      </c>
      <c r="G420" s="7">
        <v>45755</v>
      </c>
      <c r="H420">
        <v>180</v>
      </c>
      <c r="I420">
        <v>0</v>
      </c>
      <c r="J420" t="s">
        <v>36</v>
      </c>
      <c r="K420" t="s">
        <v>25</v>
      </c>
      <c r="L420" t="s">
        <v>37</v>
      </c>
      <c r="M420">
        <v>8</v>
      </c>
      <c r="N420" t="s">
        <v>30</v>
      </c>
      <c r="O420" t="str">
        <f t="shared" si="24"/>
        <v>2025-04</v>
      </c>
      <c r="P420" t="str">
        <f t="shared" si="25"/>
        <v>High</v>
      </c>
      <c r="Q420" t="str">
        <f t="shared" si="26"/>
        <v>No</v>
      </c>
      <c r="R420" s="10">
        <f t="shared" si="27"/>
        <v>1</v>
      </c>
    </row>
    <row r="421" spans="1:18">
      <c r="A421" t="s">
        <v>1462</v>
      </c>
      <c r="B421" t="s">
        <v>1463</v>
      </c>
      <c r="C421" t="s">
        <v>1464</v>
      </c>
      <c r="D421" t="s">
        <v>41</v>
      </c>
      <c r="E421" t="s">
        <v>22</v>
      </c>
      <c r="F421" t="s">
        <v>23</v>
      </c>
      <c r="G421" s="7">
        <v>45804</v>
      </c>
      <c r="H421">
        <v>35</v>
      </c>
      <c r="I421">
        <v>13.33</v>
      </c>
      <c r="J421" t="s">
        <v>129</v>
      </c>
      <c r="K421" t="s">
        <v>25</v>
      </c>
      <c r="L421" t="s">
        <v>26</v>
      </c>
      <c r="M421">
        <v>42</v>
      </c>
      <c r="N421" t="s">
        <v>27</v>
      </c>
      <c r="O421" t="str">
        <f t="shared" si="24"/>
        <v>2025-05</v>
      </c>
      <c r="P421" t="str">
        <f t="shared" si="25"/>
        <v>Medium</v>
      </c>
      <c r="Q421" t="str">
        <f t="shared" si="26"/>
        <v>Yes</v>
      </c>
      <c r="R421" s="10">
        <f t="shared" si="27"/>
        <v>0</v>
      </c>
    </row>
    <row r="422" spans="1:18">
      <c r="A422" t="s">
        <v>664</v>
      </c>
      <c r="B422" t="s">
        <v>665</v>
      </c>
      <c r="C422" t="s">
        <v>666</v>
      </c>
      <c r="D422" t="s">
        <v>57</v>
      </c>
      <c r="E422" t="s">
        <v>42</v>
      </c>
      <c r="F422" t="s">
        <v>80</v>
      </c>
      <c r="G422" s="7">
        <v>45767</v>
      </c>
      <c r="H422">
        <v>97</v>
      </c>
      <c r="I422">
        <v>3.6</v>
      </c>
      <c r="J422" t="s">
        <v>173</v>
      </c>
      <c r="K422" t="s">
        <v>53</v>
      </c>
      <c r="L422" t="s">
        <v>26</v>
      </c>
      <c r="M422">
        <v>14</v>
      </c>
      <c r="N422" t="s">
        <v>27</v>
      </c>
      <c r="O422" t="str">
        <f t="shared" si="24"/>
        <v>2025-04</v>
      </c>
      <c r="P422" t="str">
        <f t="shared" si="25"/>
        <v>High</v>
      </c>
      <c r="Q422" t="str">
        <f t="shared" si="26"/>
        <v>Yes</v>
      </c>
      <c r="R422" s="10">
        <f t="shared" si="27"/>
        <v>0</v>
      </c>
    </row>
    <row r="423" spans="1:18">
      <c r="A423" t="s">
        <v>96</v>
      </c>
      <c r="B423" t="s">
        <v>97</v>
      </c>
      <c r="C423" t="s">
        <v>98</v>
      </c>
      <c r="D423" t="s">
        <v>49</v>
      </c>
      <c r="E423" t="s">
        <v>22</v>
      </c>
      <c r="F423" t="s">
        <v>80</v>
      </c>
      <c r="G423" s="7">
        <v>45643</v>
      </c>
      <c r="H423">
        <v>92</v>
      </c>
      <c r="I423">
        <v>0</v>
      </c>
      <c r="J423" t="s">
        <v>36</v>
      </c>
      <c r="K423" t="s">
        <v>25</v>
      </c>
      <c r="L423" t="s">
        <v>26</v>
      </c>
      <c r="M423">
        <v>31</v>
      </c>
      <c r="N423" t="s">
        <v>27</v>
      </c>
      <c r="O423" t="str">
        <f t="shared" si="24"/>
        <v>2024-12</v>
      </c>
      <c r="P423" t="str">
        <f t="shared" si="25"/>
        <v>High</v>
      </c>
      <c r="Q423" t="str">
        <f t="shared" si="26"/>
        <v>No</v>
      </c>
      <c r="R423" s="10">
        <f t="shared" si="27"/>
        <v>0</v>
      </c>
    </row>
    <row r="424" spans="1:18">
      <c r="A424" t="s">
        <v>406</v>
      </c>
      <c r="B424" t="s">
        <v>407</v>
      </c>
      <c r="C424" t="s">
        <v>408</v>
      </c>
      <c r="D424" t="s">
        <v>62</v>
      </c>
      <c r="E424" t="s">
        <v>42</v>
      </c>
      <c r="F424" t="s">
        <v>80</v>
      </c>
      <c r="G424" s="7">
        <v>45700</v>
      </c>
      <c r="H424">
        <v>166</v>
      </c>
      <c r="I424">
        <v>0</v>
      </c>
      <c r="J424" t="s">
        <v>36</v>
      </c>
      <c r="K424" t="s">
        <v>25</v>
      </c>
      <c r="L424" t="s">
        <v>37</v>
      </c>
      <c r="M424">
        <v>43</v>
      </c>
      <c r="N424" t="s">
        <v>30</v>
      </c>
      <c r="O424" t="str">
        <f t="shared" si="24"/>
        <v>2025-02</v>
      </c>
      <c r="P424" t="str">
        <f t="shared" si="25"/>
        <v>High</v>
      </c>
      <c r="Q424" t="str">
        <f t="shared" si="26"/>
        <v>No</v>
      </c>
      <c r="R424" s="10">
        <f t="shared" si="27"/>
        <v>1</v>
      </c>
    </row>
    <row r="425" spans="1:18">
      <c r="A425" t="s">
        <v>252</v>
      </c>
      <c r="B425" t="s">
        <v>253</v>
      </c>
      <c r="C425" t="s">
        <v>254</v>
      </c>
      <c r="D425" t="s">
        <v>21</v>
      </c>
      <c r="E425" t="s">
        <v>42</v>
      </c>
      <c r="F425" t="s">
        <v>80</v>
      </c>
      <c r="G425" s="7">
        <v>45676</v>
      </c>
      <c r="H425">
        <v>146</v>
      </c>
      <c r="I425">
        <v>22.51</v>
      </c>
      <c r="J425" t="s">
        <v>44</v>
      </c>
      <c r="K425" t="s">
        <v>66</v>
      </c>
      <c r="L425" t="s">
        <v>26</v>
      </c>
      <c r="M425">
        <v>25</v>
      </c>
      <c r="N425" t="s">
        <v>27</v>
      </c>
      <c r="O425" t="str">
        <f t="shared" si="24"/>
        <v>2025-01</v>
      </c>
      <c r="P425" t="str">
        <f t="shared" si="25"/>
        <v>High</v>
      </c>
      <c r="Q425" t="str">
        <f t="shared" si="26"/>
        <v>Yes</v>
      </c>
      <c r="R425" s="10">
        <f t="shared" si="27"/>
        <v>0</v>
      </c>
    </row>
    <row r="426" spans="1:18">
      <c r="A426" t="s">
        <v>1465</v>
      </c>
      <c r="B426" t="s">
        <v>1466</v>
      </c>
      <c r="C426" t="s">
        <v>1467</v>
      </c>
      <c r="D426" t="s">
        <v>57</v>
      </c>
      <c r="E426" t="s">
        <v>42</v>
      </c>
      <c r="F426" t="s">
        <v>35</v>
      </c>
      <c r="G426" s="7">
        <v>45722</v>
      </c>
      <c r="H426">
        <v>7</v>
      </c>
      <c r="I426">
        <v>29.06</v>
      </c>
      <c r="J426" t="s">
        <v>44</v>
      </c>
      <c r="K426" t="s">
        <v>25</v>
      </c>
      <c r="L426" t="s">
        <v>26</v>
      </c>
      <c r="M426">
        <v>12</v>
      </c>
      <c r="N426" t="s">
        <v>27</v>
      </c>
      <c r="O426" t="str">
        <f t="shared" si="24"/>
        <v>2025-03</v>
      </c>
      <c r="P426" t="str">
        <f t="shared" si="25"/>
        <v>Low</v>
      </c>
      <c r="Q426" t="str">
        <f t="shared" si="26"/>
        <v>Yes</v>
      </c>
      <c r="R426" s="10">
        <f t="shared" si="27"/>
        <v>0</v>
      </c>
    </row>
    <row r="427" spans="1:18">
      <c r="A427" t="s">
        <v>249</v>
      </c>
      <c r="B427" t="s">
        <v>250</v>
      </c>
      <c r="C427" t="s">
        <v>251</v>
      </c>
      <c r="D427" t="s">
        <v>57</v>
      </c>
      <c r="E427" t="s">
        <v>22</v>
      </c>
      <c r="F427" t="s">
        <v>58</v>
      </c>
      <c r="G427" s="7">
        <v>45669</v>
      </c>
      <c r="H427">
        <v>79</v>
      </c>
      <c r="I427">
        <v>0</v>
      </c>
      <c r="J427" t="s">
        <v>36</v>
      </c>
      <c r="K427" t="s">
        <v>25</v>
      </c>
      <c r="L427" t="s">
        <v>37</v>
      </c>
      <c r="M427">
        <v>30</v>
      </c>
      <c r="N427" t="s">
        <v>27</v>
      </c>
      <c r="O427" t="str">
        <f t="shared" si="24"/>
        <v>2025-01</v>
      </c>
      <c r="P427" t="str">
        <f t="shared" si="25"/>
        <v>High</v>
      </c>
      <c r="Q427" t="str">
        <f t="shared" si="26"/>
        <v>No</v>
      </c>
      <c r="R427" s="10">
        <f t="shared" si="27"/>
        <v>0</v>
      </c>
    </row>
    <row r="428" spans="1:18">
      <c r="A428" t="s">
        <v>1468</v>
      </c>
      <c r="B428" t="s">
        <v>1469</v>
      </c>
      <c r="C428" t="s">
        <v>1470</v>
      </c>
      <c r="D428" t="s">
        <v>21</v>
      </c>
      <c r="E428" t="s">
        <v>34</v>
      </c>
      <c r="F428" t="s">
        <v>23</v>
      </c>
      <c r="G428" s="7">
        <v>45695</v>
      </c>
      <c r="H428">
        <v>39</v>
      </c>
      <c r="I428">
        <v>0</v>
      </c>
      <c r="J428" t="s">
        <v>36</v>
      </c>
      <c r="K428" t="s">
        <v>25</v>
      </c>
      <c r="L428" t="s">
        <v>37</v>
      </c>
      <c r="M428">
        <v>12</v>
      </c>
      <c r="N428" t="s">
        <v>27</v>
      </c>
      <c r="O428" t="str">
        <f t="shared" si="24"/>
        <v>2025-02</v>
      </c>
      <c r="P428" t="str">
        <f t="shared" si="25"/>
        <v>Medium</v>
      </c>
      <c r="Q428" t="str">
        <f t="shared" si="26"/>
        <v>No</v>
      </c>
      <c r="R428" s="10">
        <f t="shared" si="27"/>
        <v>0</v>
      </c>
    </row>
    <row r="429" spans="1:18">
      <c r="A429" t="s">
        <v>1471</v>
      </c>
      <c r="B429" t="s">
        <v>1472</v>
      </c>
      <c r="C429" t="s">
        <v>1473</v>
      </c>
      <c r="D429" t="s">
        <v>21</v>
      </c>
      <c r="E429" t="s">
        <v>42</v>
      </c>
      <c r="F429" t="s">
        <v>73</v>
      </c>
      <c r="G429" s="7">
        <v>45645</v>
      </c>
      <c r="H429">
        <v>9</v>
      </c>
      <c r="I429">
        <v>0</v>
      </c>
      <c r="J429" t="s">
        <v>36</v>
      </c>
      <c r="K429" t="s">
        <v>53</v>
      </c>
      <c r="L429" t="s">
        <v>37</v>
      </c>
      <c r="M429">
        <v>23</v>
      </c>
      <c r="N429" t="s">
        <v>27</v>
      </c>
      <c r="O429" t="str">
        <f t="shared" si="24"/>
        <v>2024-12</v>
      </c>
      <c r="P429" t="str">
        <f t="shared" si="25"/>
        <v>Low</v>
      </c>
      <c r="Q429" t="str">
        <f t="shared" si="26"/>
        <v>No</v>
      </c>
      <c r="R429" s="10">
        <f t="shared" si="27"/>
        <v>0</v>
      </c>
    </row>
    <row r="430" spans="1:18">
      <c r="A430" t="s">
        <v>994</v>
      </c>
      <c r="B430" t="s">
        <v>995</v>
      </c>
      <c r="C430" t="s">
        <v>996</v>
      </c>
      <c r="D430" t="s">
        <v>49</v>
      </c>
      <c r="E430" t="s">
        <v>34</v>
      </c>
      <c r="F430" t="s">
        <v>35</v>
      </c>
      <c r="G430" s="7">
        <v>45821</v>
      </c>
      <c r="H430">
        <v>70</v>
      </c>
      <c r="I430">
        <v>11.82</v>
      </c>
      <c r="J430" t="s">
        <v>44</v>
      </c>
      <c r="K430" t="s">
        <v>25</v>
      </c>
      <c r="L430" t="s">
        <v>26</v>
      </c>
      <c r="M430">
        <v>5</v>
      </c>
      <c r="N430" t="s">
        <v>27</v>
      </c>
      <c r="O430" t="str">
        <f t="shared" si="24"/>
        <v>2025-06</v>
      </c>
      <c r="P430" t="str">
        <f t="shared" si="25"/>
        <v>High</v>
      </c>
      <c r="Q430" t="str">
        <f t="shared" si="26"/>
        <v>Yes</v>
      </c>
      <c r="R430" s="10">
        <f t="shared" si="27"/>
        <v>0</v>
      </c>
    </row>
    <row r="431" spans="1:18">
      <c r="A431" t="s">
        <v>243</v>
      </c>
      <c r="B431" t="s">
        <v>244</v>
      </c>
      <c r="C431" t="s">
        <v>245</v>
      </c>
      <c r="D431" t="s">
        <v>49</v>
      </c>
      <c r="E431" t="s">
        <v>22</v>
      </c>
      <c r="F431" t="s">
        <v>35</v>
      </c>
      <c r="G431" s="7">
        <v>45684</v>
      </c>
      <c r="H431">
        <v>156</v>
      </c>
      <c r="I431">
        <v>0</v>
      </c>
      <c r="J431" t="s">
        <v>36</v>
      </c>
      <c r="K431" t="s">
        <v>25</v>
      </c>
      <c r="L431" t="s">
        <v>37</v>
      </c>
      <c r="M431">
        <v>6</v>
      </c>
      <c r="N431" t="s">
        <v>30</v>
      </c>
      <c r="O431" t="str">
        <f t="shared" si="24"/>
        <v>2025-01</v>
      </c>
      <c r="P431" t="str">
        <f t="shared" si="25"/>
        <v>High</v>
      </c>
      <c r="Q431" t="str">
        <f t="shared" si="26"/>
        <v>No</v>
      </c>
      <c r="R431" s="10">
        <f t="shared" si="27"/>
        <v>1</v>
      </c>
    </row>
    <row r="432" spans="1:18">
      <c r="A432" t="s">
        <v>93</v>
      </c>
      <c r="B432" t="s">
        <v>94</v>
      </c>
      <c r="C432" t="s">
        <v>95</v>
      </c>
      <c r="D432" t="s">
        <v>21</v>
      </c>
      <c r="E432" t="s">
        <v>42</v>
      </c>
      <c r="F432" t="s">
        <v>80</v>
      </c>
      <c r="G432" s="7">
        <v>45641</v>
      </c>
      <c r="H432">
        <v>159</v>
      </c>
      <c r="I432">
        <v>0</v>
      </c>
      <c r="J432" t="s">
        <v>36</v>
      </c>
      <c r="K432" t="s">
        <v>25</v>
      </c>
      <c r="L432" t="s">
        <v>37</v>
      </c>
      <c r="M432">
        <v>14</v>
      </c>
      <c r="N432" t="s">
        <v>30</v>
      </c>
      <c r="O432" t="str">
        <f t="shared" si="24"/>
        <v>2024-12</v>
      </c>
      <c r="P432" t="str">
        <f t="shared" si="25"/>
        <v>High</v>
      </c>
      <c r="Q432" t="str">
        <f t="shared" si="26"/>
        <v>No</v>
      </c>
      <c r="R432" s="10">
        <f t="shared" si="27"/>
        <v>1</v>
      </c>
    </row>
    <row r="433" spans="1:18">
      <c r="A433" t="s">
        <v>237</v>
      </c>
      <c r="B433" t="s">
        <v>238</v>
      </c>
      <c r="C433" t="s">
        <v>239</v>
      </c>
      <c r="D433" t="s">
        <v>21</v>
      </c>
      <c r="E433" t="s">
        <v>34</v>
      </c>
      <c r="F433" t="s">
        <v>23</v>
      </c>
      <c r="G433" s="7">
        <v>45680</v>
      </c>
      <c r="H433">
        <v>139</v>
      </c>
      <c r="I433">
        <v>0</v>
      </c>
      <c r="J433" t="s">
        <v>36</v>
      </c>
      <c r="K433" t="s">
        <v>25</v>
      </c>
      <c r="L433" t="s">
        <v>37</v>
      </c>
      <c r="M433">
        <v>37</v>
      </c>
      <c r="N433" t="s">
        <v>27</v>
      </c>
      <c r="O433" t="str">
        <f t="shared" si="24"/>
        <v>2025-01</v>
      </c>
      <c r="P433" t="str">
        <f t="shared" si="25"/>
        <v>High</v>
      </c>
      <c r="Q433" t="str">
        <f t="shared" si="26"/>
        <v>No</v>
      </c>
      <c r="R433" s="10">
        <f t="shared" si="27"/>
        <v>0</v>
      </c>
    </row>
    <row r="434" spans="1:18">
      <c r="A434" t="s">
        <v>1474</v>
      </c>
      <c r="B434" t="s">
        <v>1475</v>
      </c>
      <c r="C434" t="s">
        <v>1476</v>
      </c>
      <c r="D434" t="s">
        <v>57</v>
      </c>
      <c r="E434" t="s">
        <v>22</v>
      </c>
      <c r="F434" t="s">
        <v>23</v>
      </c>
      <c r="G434" s="7">
        <v>45778</v>
      </c>
      <c r="H434">
        <v>25</v>
      </c>
      <c r="I434">
        <v>0</v>
      </c>
      <c r="J434" t="s">
        <v>36</v>
      </c>
      <c r="K434" t="s">
        <v>25</v>
      </c>
      <c r="L434" t="s">
        <v>26</v>
      </c>
      <c r="M434">
        <v>20</v>
      </c>
      <c r="N434" t="s">
        <v>27</v>
      </c>
      <c r="O434" t="str">
        <f t="shared" si="24"/>
        <v>2025-05</v>
      </c>
      <c r="P434" t="str">
        <f t="shared" si="25"/>
        <v>Medium</v>
      </c>
      <c r="Q434" t="str">
        <f t="shared" si="26"/>
        <v>No</v>
      </c>
      <c r="R434" s="10">
        <f t="shared" si="27"/>
        <v>0</v>
      </c>
    </row>
    <row r="435" spans="1:18">
      <c r="A435" t="s">
        <v>534</v>
      </c>
      <c r="B435" t="s">
        <v>535</v>
      </c>
      <c r="C435" t="s">
        <v>536</v>
      </c>
      <c r="D435" t="s">
        <v>49</v>
      </c>
      <c r="E435" t="s">
        <v>22</v>
      </c>
      <c r="F435" t="s">
        <v>80</v>
      </c>
      <c r="G435" s="7">
        <v>45739</v>
      </c>
      <c r="H435">
        <v>80</v>
      </c>
      <c r="I435">
        <v>0</v>
      </c>
      <c r="J435" t="s">
        <v>36</v>
      </c>
      <c r="K435" t="s">
        <v>53</v>
      </c>
      <c r="L435" t="s">
        <v>37</v>
      </c>
      <c r="M435">
        <v>3</v>
      </c>
      <c r="N435" t="s">
        <v>27</v>
      </c>
      <c r="O435" t="str">
        <f t="shared" si="24"/>
        <v>2025-03</v>
      </c>
      <c r="P435" t="str">
        <f t="shared" si="25"/>
        <v>High</v>
      </c>
      <c r="Q435" t="str">
        <f t="shared" si="26"/>
        <v>No</v>
      </c>
      <c r="R435" s="10">
        <f t="shared" si="27"/>
        <v>0</v>
      </c>
    </row>
    <row r="436" spans="1:18">
      <c r="A436" t="s">
        <v>650</v>
      </c>
      <c r="B436" t="s">
        <v>651</v>
      </c>
      <c r="C436" t="s">
        <v>652</v>
      </c>
      <c r="D436" t="s">
        <v>21</v>
      </c>
      <c r="E436" t="s">
        <v>42</v>
      </c>
      <c r="F436" t="s">
        <v>80</v>
      </c>
      <c r="G436" s="7">
        <v>45773</v>
      </c>
      <c r="H436">
        <v>101</v>
      </c>
      <c r="I436">
        <v>0</v>
      </c>
      <c r="J436" t="s">
        <v>36</v>
      </c>
      <c r="K436" t="s">
        <v>25</v>
      </c>
      <c r="L436" t="s">
        <v>37</v>
      </c>
      <c r="M436">
        <v>15</v>
      </c>
      <c r="N436" t="s">
        <v>27</v>
      </c>
      <c r="O436" t="str">
        <f t="shared" si="24"/>
        <v>2025-04</v>
      </c>
      <c r="P436" t="str">
        <f t="shared" si="25"/>
        <v>High</v>
      </c>
      <c r="Q436" t="str">
        <f t="shared" si="26"/>
        <v>No</v>
      </c>
      <c r="R436" s="10">
        <f t="shared" si="27"/>
        <v>0</v>
      </c>
    </row>
    <row r="437" spans="1:18">
      <c r="A437" t="s">
        <v>81</v>
      </c>
      <c r="B437" t="s">
        <v>82</v>
      </c>
      <c r="C437" t="s">
        <v>83</v>
      </c>
      <c r="D437" t="s">
        <v>21</v>
      </c>
      <c r="E437" t="s">
        <v>42</v>
      </c>
      <c r="F437" t="s">
        <v>73</v>
      </c>
      <c r="G437" s="7">
        <v>45645</v>
      </c>
      <c r="H437">
        <v>176</v>
      </c>
      <c r="I437">
        <v>0</v>
      </c>
      <c r="J437" t="s">
        <v>36</v>
      </c>
      <c r="K437" t="s">
        <v>25</v>
      </c>
      <c r="L437" t="s">
        <v>37</v>
      </c>
      <c r="M437">
        <v>18</v>
      </c>
      <c r="N437" t="s">
        <v>30</v>
      </c>
      <c r="O437" t="str">
        <f t="shared" si="24"/>
        <v>2024-12</v>
      </c>
      <c r="P437" t="str">
        <f t="shared" si="25"/>
        <v>High</v>
      </c>
      <c r="Q437" t="str">
        <f t="shared" si="26"/>
        <v>No</v>
      </c>
      <c r="R437" s="10">
        <f t="shared" si="27"/>
        <v>1</v>
      </c>
    </row>
    <row r="438" spans="1:18">
      <c r="A438" t="s">
        <v>400</v>
      </c>
      <c r="B438" t="s">
        <v>401</v>
      </c>
      <c r="C438" t="s">
        <v>402</v>
      </c>
      <c r="D438" t="s">
        <v>57</v>
      </c>
      <c r="E438" t="s">
        <v>34</v>
      </c>
      <c r="F438" t="s">
        <v>23</v>
      </c>
      <c r="G438" s="7">
        <v>45708</v>
      </c>
      <c r="H438">
        <v>101</v>
      </c>
      <c r="I438">
        <v>0</v>
      </c>
      <c r="J438" t="s">
        <v>36</v>
      </c>
      <c r="K438" t="s">
        <v>53</v>
      </c>
      <c r="L438" t="s">
        <v>37</v>
      </c>
      <c r="M438">
        <v>5</v>
      </c>
      <c r="N438" t="s">
        <v>27</v>
      </c>
      <c r="O438" t="str">
        <f t="shared" si="24"/>
        <v>2025-02</v>
      </c>
      <c r="P438" t="str">
        <f t="shared" si="25"/>
        <v>High</v>
      </c>
      <c r="Q438" t="str">
        <f t="shared" si="26"/>
        <v>No</v>
      </c>
      <c r="R438" s="10">
        <f t="shared" si="27"/>
        <v>0</v>
      </c>
    </row>
    <row r="439" spans="1:18">
      <c r="A439" t="s">
        <v>842</v>
      </c>
      <c r="B439" t="s">
        <v>843</v>
      </c>
      <c r="C439" t="s">
        <v>844</v>
      </c>
      <c r="D439" t="s">
        <v>41</v>
      </c>
      <c r="E439" t="s">
        <v>42</v>
      </c>
      <c r="F439" t="s">
        <v>43</v>
      </c>
      <c r="G439" s="7">
        <v>45797</v>
      </c>
      <c r="H439">
        <v>147</v>
      </c>
      <c r="I439">
        <v>32.049999999999997</v>
      </c>
      <c r="J439" t="s">
        <v>173</v>
      </c>
      <c r="K439" t="s">
        <v>53</v>
      </c>
      <c r="L439" t="s">
        <v>26</v>
      </c>
      <c r="M439">
        <v>11</v>
      </c>
      <c r="N439" t="s">
        <v>27</v>
      </c>
      <c r="O439" t="str">
        <f t="shared" si="24"/>
        <v>2025-05</v>
      </c>
      <c r="P439" t="str">
        <f t="shared" si="25"/>
        <v>High</v>
      </c>
      <c r="Q439" t="str">
        <f t="shared" si="26"/>
        <v>Yes</v>
      </c>
      <c r="R439" s="10">
        <f t="shared" si="27"/>
        <v>0</v>
      </c>
    </row>
    <row r="440" spans="1:18">
      <c r="A440" t="s">
        <v>1477</v>
      </c>
      <c r="B440" t="s">
        <v>1478</v>
      </c>
      <c r="C440" t="s">
        <v>1479</v>
      </c>
      <c r="D440" t="s">
        <v>21</v>
      </c>
      <c r="E440" t="s">
        <v>22</v>
      </c>
      <c r="F440" t="s">
        <v>58</v>
      </c>
      <c r="G440" s="7">
        <v>45667</v>
      </c>
      <c r="H440">
        <v>46</v>
      </c>
      <c r="I440">
        <v>0</v>
      </c>
      <c r="J440" t="s">
        <v>36</v>
      </c>
      <c r="K440" t="s">
        <v>25</v>
      </c>
      <c r="L440" t="s">
        <v>37</v>
      </c>
      <c r="M440">
        <v>4</v>
      </c>
      <c r="N440" t="s">
        <v>27</v>
      </c>
      <c r="O440" t="str">
        <f t="shared" si="24"/>
        <v>2025-01</v>
      </c>
      <c r="P440" t="str">
        <f t="shared" si="25"/>
        <v>Medium</v>
      </c>
      <c r="Q440" t="str">
        <f t="shared" si="26"/>
        <v>No</v>
      </c>
      <c r="R440" s="10">
        <f t="shared" si="27"/>
        <v>0</v>
      </c>
    </row>
    <row r="441" spans="1:18">
      <c r="A441" t="s">
        <v>1480</v>
      </c>
      <c r="B441" t="s">
        <v>1481</v>
      </c>
      <c r="C441" t="s">
        <v>1482</v>
      </c>
      <c r="D441" t="s">
        <v>41</v>
      </c>
      <c r="E441" t="s">
        <v>34</v>
      </c>
      <c r="F441" t="s">
        <v>73</v>
      </c>
      <c r="G441" s="7">
        <v>45810</v>
      </c>
      <c r="H441">
        <v>33</v>
      </c>
      <c r="I441">
        <v>0</v>
      </c>
      <c r="J441" t="s">
        <v>36</v>
      </c>
      <c r="K441" t="s">
        <v>66</v>
      </c>
      <c r="L441" t="s">
        <v>37</v>
      </c>
      <c r="M441">
        <v>20</v>
      </c>
      <c r="N441" t="s">
        <v>27</v>
      </c>
      <c r="O441" t="str">
        <f t="shared" si="24"/>
        <v>2025-06</v>
      </c>
      <c r="P441" t="str">
        <f t="shared" si="25"/>
        <v>Medium</v>
      </c>
      <c r="Q441" t="str">
        <f t="shared" si="26"/>
        <v>No</v>
      </c>
      <c r="R441" s="10">
        <f t="shared" si="27"/>
        <v>0</v>
      </c>
    </row>
    <row r="442" spans="1:18">
      <c r="A442" t="s">
        <v>397</v>
      </c>
      <c r="B442" t="s">
        <v>398</v>
      </c>
      <c r="C442" t="s">
        <v>399</v>
      </c>
      <c r="D442" t="s">
        <v>57</v>
      </c>
      <c r="E442" t="s">
        <v>22</v>
      </c>
      <c r="F442" t="s">
        <v>35</v>
      </c>
      <c r="G442" s="7">
        <v>45713</v>
      </c>
      <c r="H442">
        <v>150</v>
      </c>
      <c r="I442">
        <v>0</v>
      </c>
      <c r="J442" t="s">
        <v>36</v>
      </c>
      <c r="K442" t="s">
        <v>25</v>
      </c>
      <c r="L442" t="s">
        <v>37</v>
      </c>
      <c r="M442">
        <v>46</v>
      </c>
      <c r="N442" t="s">
        <v>27</v>
      </c>
      <c r="O442" t="str">
        <f t="shared" si="24"/>
        <v>2025-02</v>
      </c>
      <c r="P442" t="str">
        <f t="shared" si="25"/>
        <v>High</v>
      </c>
      <c r="Q442" t="str">
        <f t="shared" si="26"/>
        <v>No</v>
      </c>
      <c r="R442" s="10">
        <f t="shared" si="27"/>
        <v>0</v>
      </c>
    </row>
    <row r="443" spans="1:18">
      <c r="A443" t="s">
        <v>833</v>
      </c>
      <c r="B443" t="s">
        <v>834</v>
      </c>
      <c r="C443" t="s">
        <v>835</v>
      </c>
      <c r="D443" t="s">
        <v>57</v>
      </c>
      <c r="E443" t="s">
        <v>42</v>
      </c>
      <c r="F443" t="s">
        <v>43</v>
      </c>
      <c r="G443" s="7">
        <v>45793</v>
      </c>
      <c r="H443">
        <v>166</v>
      </c>
      <c r="I443">
        <v>0</v>
      </c>
      <c r="J443" t="s">
        <v>36</v>
      </c>
      <c r="K443" t="s">
        <v>25</v>
      </c>
      <c r="L443" t="s">
        <v>37</v>
      </c>
      <c r="M443">
        <v>27</v>
      </c>
      <c r="N443" t="s">
        <v>30</v>
      </c>
      <c r="O443" t="str">
        <f t="shared" si="24"/>
        <v>2025-05</v>
      </c>
      <c r="P443" t="str">
        <f t="shared" si="25"/>
        <v>High</v>
      </c>
      <c r="Q443" t="str">
        <f t="shared" si="26"/>
        <v>No</v>
      </c>
      <c r="R443" s="10">
        <f t="shared" si="27"/>
        <v>1</v>
      </c>
    </row>
    <row r="444" spans="1:18">
      <c r="A444" t="s">
        <v>216</v>
      </c>
      <c r="B444" t="s">
        <v>217</v>
      </c>
      <c r="C444" t="s">
        <v>218</v>
      </c>
      <c r="D444" t="s">
        <v>41</v>
      </c>
      <c r="E444" t="s">
        <v>22</v>
      </c>
      <c r="F444" t="s">
        <v>43</v>
      </c>
      <c r="G444" s="7">
        <v>45678</v>
      </c>
      <c r="H444">
        <v>96</v>
      </c>
      <c r="I444">
        <v>0</v>
      </c>
      <c r="J444" t="s">
        <v>36</v>
      </c>
      <c r="K444" t="s">
        <v>25</v>
      </c>
      <c r="L444" t="s">
        <v>26</v>
      </c>
      <c r="M444">
        <v>38</v>
      </c>
      <c r="N444" t="s">
        <v>27</v>
      </c>
      <c r="O444" t="str">
        <f t="shared" si="24"/>
        <v>2025-01</v>
      </c>
      <c r="P444" t="str">
        <f t="shared" si="25"/>
        <v>High</v>
      </c>
      <c r="Q444" t="str">
        <f t="shared" si="26"/>
        <v>No</v>
      </c>
      <c r="R444" s="10">
        <f t="shared" si="27"/>
        <v>0</v>
      </c>
    </row>
    <row r="445" spans="1:18">
      <c r="A445" t="s">
        <v>1483</v>
      </c>
      <c r="B445" t="s">
        <v>1484</v>
      </c>
      <c r="C445" t="s">
        <v>1485</v>
      </c>
      <c r="D445" t="s">
        <v>62</v>
      </c>
      <c r="E445" t="s">
        <v>42</v>
      </c>
      <c r="F445" t="s">
        <v>80</v>
      </c>
      <c r="G445" s="7">
        <v>45795</v>
      </c>
      <c r="H445">
        <v>51</v>
      </c>
      <c r="I445">
        <v>0</v>
      </c>
      <c r="J445" t="s">
        <v>36</v>
      </c>
      <c r="K445" t="s">
        <v>25</v>
      </c>
      <c r="L445" t="s">
        <v>37</v>
      </c>
      <c r="M445">
        <v>9</v>
      </c>
      <c r="N445" t="s">
        <v>27</v>
      </c>
      <c r="O445" t="str">
        <f t="shared" si="24"/>
        <v>2025-05</v>
      </c>
      <c r="P445" t="str">
        <f t="shared" si="25"/>
        <v>Medium</v>
      </c>
      <c r="Q445" t="str">
        <f t="shared" si="26"/>
        <v>No</v>
      </c>
      <c r="R445" s="10">
        <f t="shared" si="27"/>
        <v>0</v>
      </c>
    </row>
    <row r="446" spans="1:18">
      <c r="A446" t="s">
        <v>70</v>
      </c>
      <c r="B446" t="s">
        <v>71</v>
      </c>
      <c r="C446" t="s">
        <v>72</v>
      </c>
      <c r="D446" t="s">
        <v>41</v>
      </c>
      <c r="E446" t="s">
        <v>42</v>
      </c>
      <c r="F446" t="s">
        <v>73</v>
      </c>
      <c r="G446" s="7">
        <v>45652</v>
      </c>
      <c r="H446">
        <v>96</v>
      </c>
      <c r="I446">
        <v>0</v>
      </c>
      <c r="J446" t="s">
        <v>36</v>
      </c>
      <c r="K446" t="s">
        <v>25</v>
      </c>
      <c r="L446" t="s">
        <v>37</v>
      </c>
      <c r="M446">
        <v>49</v>
      </c>
      <c r="N446" t="s">
        <v>27</v>
      </c>
      <c r="O446" t="str">
        <f t="shared" si="24"/>
        <v>2024-12</v>
      </c>
      <c r="P446" t="str">
        <f t="shared" si="25"/>
        <v>High</v>
      </c>
      <c r="Q446" t="str">
        <f t="shared" si="26"/>
        <v>No</v>
      </c>
      <c r="R446" s="10">
        <f t="shared" si="27"/>
        <v>0</v>
      </c>
    </row>
    <row r="447" spans="1:18">
      <c r="A447" t="s">
        <v>824</v>
      </c>
      <c r="B447" t="s">
        <v>825</v>
      </c>
      <c r="C447" t="s">
        <v>826</v>
      </c>
      <c r="D447" t="s">
        <v>57</v>
      </c>
      <c r="E447" t="s">
        <v>42</v>
      </c>
      <c r="F447" t="s">
        <v>73</v>
      </c>
      <c r="G447" s="7">
        <v>45787</v>
      </c>
      <c r="H447">
        <v>114</v>
      </c>
      <c r="I447">
        <v>0</v>
      </c>
      <c r="J447" t="s">
        <v>36</v>
      </c>
      <c r="K447" t="s">
        <v>53</v>
      </c>
      <c r="L447" t="s">
        <v>37</v>
      </c>
      <c r="M447">
        <v>22</v>
      </c>
      <c r="N447" t="s">
        <v>27</v>
      </c>
      <c r="O447" t="str">
        <f t="shared" si="24"/>
        <v>2025-05</v>
      </c>
      <c r="P447" t="str">
        <f t="shared" si="25"/>
        <v>High</v>
      </c>
      <c r="Q447" t="str">
        <f t="shared" si="26"/>
        <v>No</v>
      </c>
      <c r="R447" s="10">
        <f t="shared" si="27"/>
        <v>0</v>
      </c>
    </row>
    <row r="448" spans="1:18">
      <c r="A448" t="s">
        <v>63</v>
      </c>
      <c r="B448" t="s">
        <v>64</v>
      </c>
      <c r="C448" t="s">
        <v>65</v>
      </c>
      <c r="D448" t="s">
        <v>49</v>
      </c>
      <c r="E448" t="s">
        <v>22</v>
      </c>
      <c r="F448" t="s">
        <v>23</v>
      </c>
      <c r="G448" s="7">
        <v>45654</v>
      </c>
      <c r="H448">
        <v>133</v>
      </c>
      <c r="I448">
        <v>0</v>
      </c>
      <c r="J448" t="s">
        <v>36</v>
      </c>
      <c r="K448" t="s">
        <v>66</v>
      </c>
      <c r="L448" t="s">
        <v>37</v>
      </c>
      <c r="M448">
        <v>10</v>
      </c>
      <c r="N448" t="s">
        <v>27</v>
      </c>
      <c r="O448" t="str">
        <f t="shared" si="24"/>
        <v>2024-12</v>
      </c>
      <c r="P448" t="str">
        <f t="shared" si="25"/>
        <v>High</v>
      </c>
      <c r="Q448" t="str">
        <f t="shared" si="26"/>
        <v>No</v>
      </c>
      <c r="R448" s="10">
        <f t="shared" si="27"/>
        <v>0</v>
      </c>
    </row>
    <row r="449" spans="1:18">
      <c r="A449" t="s">
        <v>641</v>
      </c>
      <c r="B449" t="s">
        <v>642</v>
      </c>
      <c r="C449" t="s">
        <v>643</v>
      </c>
      <c r="D449" t="s">
        <v>21</v>
      </c>
      <c r="E449" t="s">
        <v>42</v>
      </c>
      <c r="F449" t="s">
        <v>58</v>
      </c>
      <c r="G449" s="7">
        <v>45755</v>
      </c>
      <c r="H449">
        <v>104</v>
      </c>
      <c r="I449">
        <v>9.94</v>
      </c>
      <c r="J449" t="s">
        <v>173</v>
      </c>
      <c r="K449" t="s">
        <v>66</v>
      </c>
      <c r="L449" t="s">
        <v>26</v>
      </c>
      <c r="M449">
        <v>21</v>
      </c>
      <c r="N449" t="s">
        <v>27</v>
      </c>
      <c r="O449" t="str">
        <f t="shared" si="24"/>
        <v>2025-04</v>
      </c>
      <c r="P449" t="str">
        <f t="shared" si="25"/>
        <v>High</v>
      </c>
      <c r="Q449" t="str">
        <f t="shared" si="26"/>
        <v>Yes</v>
      </c>
      <c r="R449" s="10">
        <f t="shared" si="27"/>
        <v>0</v>
      </c>
    </row>
    <row r="450" spans="1:18">
      <c r="A450" t="s">
        <v>636</v>
      </c>
      <c r="B450" t="s">
        <v>637</v>
      </c>
      <c r="C450" t="s">
        <v>638</v>
      </c>
      <c r="D450" t="s">
        <v>57</v>
      </c>
      <c r="E450" t="s">
        <v>42</v>
      </c>
      <c r="F450" t="s">
        <v>58</v>
      </c>
      <c r="G450" s="7">
        <v>45758</v>
      </c>
      <c r="H450">
        <v>108</v>
      </c>
      <c r="I450">
        <v>0</v>
      </c>
      <c r="J450" t="s">
        <v>36</v>
      </c>
      <c r="K450" t="s">
        <v>45</v>
      </c>
      <c r="L450" t="s">
        <v>37</v>
      </c>
      <c r="M450">
        <v>22</v>
      </c>
      <c r="N450" t="s">
        <v>27</v>
      </c>
      <c r="O450" t="str">
        <f t="shared" si="24"/>
        <v>2025-04</v>
      </c>
      <c r="P450" t="str">
        <f t="shared" si="25"/>
        <v>High</v>
      </c>
      <c r="Q450" t="str">
        <f t="shared" si="26"/>
        <v>No</v>
      </c>
      <c r="R450" s="10">
        <f t="shared" si="27"/>
        <v>0</v>
      </c>
    </row>
    <row r="451" spans="1:18">
      <c r="A451" t="s">
        <v>520</v>
      </c>
      <c r="B451" t="s">
        <v>521</v>
      </c>
      <c r="C451" t="s">
        <v>522</v>
      </c>
      <c r="D451" t="s">
        <v>21</v>
      </c>
      <c r="E451" t="s">
        <v>22</v>
      </c>
      <c r="F451" t="s">
        <v>35</v>
      </c>
      <c r="G451" s="7">
        <v>45724</v>
      </c>
      <c r="H451">
        <v>63</v>
      </c>
      <c r="I451">
        <v>0</v>
      </c>
      <c r="J451" t="s">
        <v>36</v>
      </c>
      <c r="K451" t="s">
        <v>25</v>
      </c>
      <c r="L451" t="s">
        <v>37</v>
      </c>
      <c r="M451">
        <v>25</v>
      </c>
      <c r="N451" t="s">
        <v>27</v>
      </c>
      <c r="O451" t="str">
        <f t="shared" ref="O451:O501" si="28">TEXT(G451,"yyyy-mm")</f>
        <v>2025-03</v>
      </c>
      <c r="P451" t="str">
        <f t="shared" ref="P451:P501" si="29">IF(H451&lt;20,"Low",IF(H451&lt;=60,"Medium","High"))</f>
        <v>High</v>
      </c>
      <c r="Q451" t="str">
        <f t="shared" ref="Q451:Q501" si="30">IF(I451&gt;0,"Yes","No")</f>
        <v>No</v>
      </c>
      <c r="R451" s="10">
        <f t="shared" ref="R451:R501" si="31">IF(N451="Yes",1,0)</f>
        <v>0</v>
      </c>
    </row>
    <row r="452" spans="1:18">
      <c r="A452" t="s">
        <v>1486</v>
      </c>
      <c r="B452" t="s">
        <v>1487</v>
      </c>
      <c r="C452" t="s">
        <v>1488</v>
      </c>
      <c r="D452" t="s">
        <v>49</v>
      </c>
      <c r="E452" t="s">
        <v>22</v>
      </c>
      <c r="F452" t="s">
        <v>58</v>
      </c>
      <c r="G452" s="7">
        <v>45660</v>
      </c>
      <c r="H452">
        <v>33</v>
      </c>
      <c r="I452">
        <v>0</v>
      </c>
      <c r="J452" t="s">
        <v>36</v>
      </c>
      <c r="K452" t="s">
        <v>25</v>
      </c>
      <c r="L452" t="s">
        <v>37</v>
      </c>
      <c r="M452">
        <v>32</v>
      </c>
      <c r="N452" t="s">
        <v>27</v>
      </c>
      <c r="O452" t="str">
        <f t="shared" si="28"/>
        <v>2025-01</v>
      </c>
      <c r="P452" t="str">
        <f t="shared" si="29"/>
        <v>Medium</v>
      </c>
      <c r="Q452" t="str">
        <f t="shared" si="30"/>
        <v>No</v>
      </c>
      <c r="R452" s="10">
        <f t="shared" si="31"/>
        <v>0</v>
      </c>
    </row>
    <row r="453" spans="1:18">
      <c r="A453" t="s">
        <v>1489</v>
      </c>
      <c r="B453" t="s">
        <v>1490</v>
      </c>
      <c r="C453" t="s">
        <v>1491</v>
      </c>
      <c r="D453" t="s">
        <v>62</v>
      </c>
      <c r="E453" t="s">
        <v>22</v>
      </c>
      <c r="F453" t="s">
        <v>43</v>
      </c>
      <c r="G453" s="7">
        <v>45791</v>
      </c>
      <c r="H453">
        <v>39</v>
      </c>
      <c r="I453">
        <v>0</v>
      </c>
      <c r="J453" t="s">
        <v>36</v>
      </c>
      <c r="K453" t="s">
        <v>25</v>
      </c>
      <c r="L453" t="s">
        <v>37</v>
      </c>
      <c r="M453">
        <v>42</v>
      </c>
      <c r="N453" t="s">
        <v>27</v>
      </c>
      <c r="O453" t="str">
        <f t="shared" si="28"/>
        <v>2025-05</v>
      </c>
      <c r="P453" t="str">
        <f t="shared" si="29"/>
        <v>Medium</v>
      </c>
      <c r="Q453" t="str">
        <f t="shared" si="30"/>
        <v>No</v>
      </c>
      <c r="R453" s="10">
        <f t="shared" si="31"/>
        <v>0</v>
      </c>
    </row>
    <row r="454" spans="1:18">
      <c r="A454" t="s">
        <v>1492</v>
      </c>
      <c r="B454" t="s">
        <v>1493</v>
      </c>
      <c r="C454" t="s">
        <v>1494</v>
      </c>
      <c r="D454" t="s">
        <v>49</v>
      </c>
      <c r="E454" t="s">
        <v>34</v>
      </c>
      <c r="F454" t="s">
        <v>73</v>
      </c>
      <c r="G454" s="7">
        <v>45714</v>
      </c>
      <c r="H454">
        <v>11</v>
      </c>
      <c r="I454">
        <v>0</v>
      </c>
      <c r="J454" t="s">
        <v>36</v>
      </c>
      <c r="K454" t="s">
        <v>66</v>
      </c>
      <c r="L454" t="s">
        <v>37</v>
      </c>
      <c r="M454">
        <v>12</v>
      </c>
      <c r="N454" t="s">
        <v>27</v>
      </c>
      <c r="O454" t="str">
        <f t="shared" si="28"/>
        <v>2025-02</v>
      </c>
      <c r="P454" t="str">
        <f t="shared" si="29"/>
        <v>Low</v>
      </c>
      <c r="Q454" t="str">
        <f t="shared" si="30"/>
        <v>No</v>
      </c>
      <c r="R454" s="10">
        <f t="shared" si="31"/>
        <v>0</v>
      </c>
    </row>
    <row r="455" spans="1:18">
      <c r="A455" t="s">
        <v>388</v>
      </c>
      <c r="B455" t="s">
        <v>389</v>
      </c>
      <c r="C455" t="s">
        <v>390</v>
      </c>
      <c r="D455" t="s">
        <v>62</v>
      </c>
      <c r="E455" t="s">
        <v>22</v>
      </c>
      <c r="F455" t="s">
        <v>58</v>
      </c>
      <c r="G455" s="7">
        <v>45708</v>
      </c>
      <c r="H455">
        <v>142</v>
      </c>
      <c r="I455">
        <v>0</v>
      </c>
      <c r="J455" t="s">
        <v>36</v>
      </c>
      <c r="K455" t="s">
        <v>25</v>
      </c>
      <c r="L455" t="s">
        <v>37</v>
      </c>
      <c r="M455">
        <v>32</v>
      </c>
      <c r="N455" t="s">
        <v>27</v>
      </c>
      <c r="O455" t="str">
        <f t="shared" si="28"/>
        <v>2025-02</v>
      </c>
      <c r="P455" t="str">
        <f t="shared" si="29"/>
        <v>High</v>
      </c>
      <c r="Q455" t="str">
        <f t="shared" si="30"/>
        <v>No</v>
      </c>
      <c r="R455" s="10">
        <f t="shared" si="31"/>
        <v>0</v>
      </c>
    </row>
    <row r="456" spans="1:18">
      <c r="A456" t="s">
        <v>204</v>
      </c>
      <c r="B456" t="s">
        <v>205</v>
      </c>
      <c r="C456" t="s">
        <v>206</v>
      </c>
      <c r="D456" t="s">
        <v>41</v>
      </c>
      <c r="E456" t="s">
        <v>34</v>
      </c>
      <c r="F456" t="s">
        <v>23</v>
      </c>
      <c r="G456" s="7">
        <v>45669</v>
      </c>
      <c r="H456">
        <v>123</v>
      </c>
      <c r="I456">
        <v>22.4</v>
      </c>
      <c r="J456" t="s">
        <v>129</v>
      </c>
      <c r="K456" t="s">
        <v>25</v>
      </c>
      <c r="L456" t="s">
        <v>26</v>
      </c>
      <c r="M456">
        <v>33</v>
      </c>
      <c r="N456" t="s">
        <v>27</v>
      </c>
      <c r="O456" t="str">
        <f t="shared" si="28"/>
        <v>2025-01</v>
      </c>
      <c r="P456" t="str">
        <f t="shared" si="29"/>
        <v>High</v>
      </c>
      <c r="Q456" t="str">
        <f t="shared" si="30"/>
        <v>Yes</v>
      </c>
      <c r="R456" s="10">
        <f t="shared" si="31"/>
        <v>0</v>
      </c>
    </row>
    <row r="457" spans="1:18">
      <c r="A457" t="s">
        <v>518</v>
      </c>
      <c r="B457" t="s">
        <v>250</v>
      </c>
      <c r="C457" t="s">
        <v>519</v>
      </c>
      <c r="D457" t="s">
        <v>57</v>
      </c>
      <c r="E457" t="s">
        <v>42</v>
      </c>
      <c r="F457" t="s">
        <v>80</v>
      </c>
      <c r="G457" s="7">
        <v>45735</v>
      </c>
      <c r="H457">
        <v>132</v>
      </c>
      <c r="I457">
        <v>28.89</v>
      </c>
      <c r="J457" t="s">
        <v>44</v>
      </c>
      <c r="K457" t="s">
        <v>25</v>
      </c>
      <c r="L457" t="s">
        <v>26</v>
      </c>
      <c r="M457">
        <v>26</v>
      </c>
      <c r="N457" t="s">
        <v>27</v>
      </c>
      <c r="O457" t="str">
        <f t="shared" si="28"/>
        <v>2025-03</v>
      </c>
      <c r="P457" t="str">
        <f t="shared" si="29"/>
        <v>High</v>
      </c>
      <c r="Q457" t="str">
        <f t="shared" si="30"/>
        <v>Yes</v>
      </c>
      <c r="R457" s="10">
        <f t="shared" si="31"/>
        <v>0</v>
      </c>
    </row>
    <row r="458" spans="1:18">
      <c r="A458" t="s">
        <v>46</v>
      </c>
      <c r="B458" t="s">
        <v>47</v>
      </c>
      <c r="C458" t="s">
        <v>48</v>
      </c>
      <c r="D458" t="s">
        <v>49</v>
      </c>
      <c r="E458" t="s">
        <v>22</v>
      </c>
      <c r="F458" t="s">
        <v>43</v>
      </c>
      <c r="G458" s="7">
        <v>45655</v>
      </c>
      <c r="H458">
        <v>113</v>
      </c>
      <c r="I458">
        <v>0</v>
      </c>
      <c r="J458" t="s">
        <v>36</v>
      </c>
      <c r="K458" t="s">
        <v>25</v>
      </c>
      <c r="L458" t="s">
        <v>37</v>
      </c>
      <c r="M458">
        <v>17</v>
      </c>
      <c r="N458" t="s">
        <v>27</v>
      </c>
      <c r="O458" t="str">
        <f t="shared" si="28"/>
        <v>2024-12</v>
      </c>
      <c r="P458" t="str">
        <f t="shared" si="29"/>
        <v>High</v>
      </c>
      <c r="Q458" t="str">
        <f t="shared" si="30"/>
        <v>No</v>
      </c>
      <c r="R458" s="10">
        <f t="shared" si="31"/>
        <v>0</v>
      </c>
    </row>
    <row r="459" spans="1:18">
      <c r="A459" t="s">
        <v>201</v>
      </c>
      <c r="B459" t="s">
        <v>202</v>
      </c>
      <c r="C459" t="s">
        <v>203</v>
      </c>
      <c r="D459" t="s">
        <v>41</v>
      </c>
      <c r="E459" t="s">
        <v>42</v>
      </c>
      <c r="F459" t="s">
        <v>80</v>
      </c>
      <c r="G459" s="7">
        <v>45666</v>
      </c>
      <c r="H459">
        <v>92</v>
      </c>
      <c r="I459">
        <v>0</v>
      </c>
      <c r="J459" t="s">
        <v>36</v>
      </c>
      <c r="K459" t="s">
        <v>25</v>
      </c>
      <c r="L459" t="s">
        <v>37</v>
      </c>
      <c r="M459">
        <v>33</v>
      </c>
      <c r="N459" t="s">
        <v>27</v>
      </c>
      <c r="O459" t="str">
        <f t="shared" si="28"/>
        <v>2025-01</v>
      </c>
      <c r="P459" t="str">
        <f t="shared" si="29"/>
        <v>High</v>
      </c>
      <c r="Q459" t="str">
        <f t="shared" si="30"/>
        <v>No</v>
      </c>
      <c r="R459" s="10">
        <f t="shared" si="31"/>
        <v>0</v>
      </c>
    </row>
    <row r="460" spans="1:18">
      <c r="A460" t="s">
        <v>1495</v>
      </c>
      <c r="B460" t="s">
        <v>1496</v>
      </c>
      <c r="C460" t="s">
        <v>1497</v>
      </c>
      <c r="D460" t="s">
        <v>41</v>
      </c>
      <c r="E460" t="s">
        <v>42</v>
      </c>
      <c r="F460" t="s">
        <v>23</v>
      </c>
      <c r="G460" s="7">
        <v>45654</v>
      </c>
      <c r="H460">
        <v>44</v>
      </c>
      <c r="I460">
        <v>0</v>
      </c>
      <c r="J460" t="s">
        <v>36</v>
      </c>
      <c r="K460" t="s">
        <v>25</v>
      </c>
      <c r="L460" t="s">
        <v>37</v>
      </c>
      <c r="M460">
        <v>21</v>
      </c>
      <c r="N460" t="s">
        <v>27</v>
      </c>
      <c r="O460" t="str">
        <f t="shared" si="28"/>
        <v>2024-12</v>
      </c>
      <c r="P460" t="str">
        <f t="shared" si="29"/>
        <v>Medium</v>
      </c>
      <c r="Q460" t="str">
        <f t="shared" si="30"/>
        <v>No</v>
      </c>
      <c r="R460" s="10">
        <f t="shared" si="31"/>
        <v>0</v>
      </c>
    </row>
    <row r="461" spans="1:18">
      <c r="A461" t="s">
        <v>1498</v>
      </c>
      <c r="B461" t="s">
        <v>1499</v>
      </c>
      <c r="C461" t="s">
        <v>1500</v>
      </c>
      <c r="D461" t="s">
        <v>62</v>
      </c>
      <c r="E461" t="s">
        <v>22</v>
      </c>
      <c r="F461" t="s">
        <v>73</v>
      </c>
      <c r="G461" s="7">
        <v>45722</v>
      </c>
      <c r="H461">
        <v>17</v>
      </c>
      <c r="I461">
        <v>0</v>
      </c>
      <c r="J461" t="s">
        <v>36</v>
      </c>
      <c r="K461" t="s">
        <v>25</v>
      </c>
      <c r="L461" t="s">
        <v>37</v>
      </c>
      <c r="M461">
        <v>1</v>
      </c>
      <c r="N461" t="s">
        <v>27</v>
      </c>
      <c r="O461" t="str">
        <f t="shared" si="28"/>
        <v>2025-03</v>
      </c>
      <c r="P461" t="str">
        <f t="shared" si="29"/>
        <v>Low</v>
      </c>
      <c r="Q461" t="str">
        <f t="shared" si="30"/>
        <v>No</v>
      </c>
      <c r="R461" s="10">
        <f t="shared" si="31"/>
        <v>0</v>
      </c>
    </row>
    <row r="462" spans="1:18">
      <c r="A462" t="s">
        <v>1501</v>
      </c>
      <c r="B462" t="s">
        <v>1502</v>
      </c>
      <c r="C462" t="s">
        <v>1503</v>
      </c>
      <c r="D462" t="s">
        <v>62</v>
      </c>
      <c r="E462" t="s">
        <v>34</v>
      </c>
      <c r="F462" t="s">
        <v>35</v>
      </c>
      <c r="G462" s="7">
        <v>45690</v>
      </c>
      <c r="H462">
        <v>52</v>
      </c>
      <c r="I462">
        <v>0</v>
      </c>
      <c r="J462" t="s">
        <v>36</v>
      </c>
      <c r="K462" t="s">
        <v>66</v>
      </c>
      <c r="L462" t="s">
        <v>37</v>
      </c>
      <c r="M462">
        <v>19</v>
      </c>
      <c r="N462" t="s">
        <v>27</v>
      </c>
      <c r="O462" t="str">
        <f t="shared" si="28"/>
        <v>2025-02</v>
      </c>
      <c r="P462" t="str">
        <f t="shared" si="29"/>
        <v>Medium</v>
      </c>
      <c r="Q462" t="str">
        <f t="shared" si="30"/>
        <v>No</v>
      </c>
      <c r="R462" s="10">
        <f t="shared" si="31"/>
        <v>0</v>
      </c>
    </row>
    <row r="463" spans="1:18">
      <c r="A463" t="s">
        <v>1504</v>
      </c>
      <c r="B463" t="s">
        <v>1505</v>
      </c>
      <c r="C463" t="s">
        <v>1506</v>
      </c>
      <c r="D463" t="s">
        <v>49</v>
      </c>
      <c r="E463" t="s">
        <v>22</v>
      </c>
      <c r="F463" t="s">
        <v>73</v>
      </c>
      <c r="G463" s="7">
        <v>45676</v>
      </c>
      <c r="H463">
        <v>51</v>
      </c>
      <c r="I463">
        <v>20.97</v>
      </c>
      <c r="J463" t="s">
        <v>129</v>
      </c>
      <c r="K463" t="s">
        <v>25</v>
      </c>
      <c r="L463" t="s">
        <v>26</v>
      </c>
      <c r="M463">
        <v>31</v>
      </c>
      <c r="N463" t="s">
        <v>27</v>
      </c>
      <c r="O463" t="str">
        <f t="shared" si="28"/>
        <v>2025-01</v>
      </c>
      <c r="P463" t="str">
        <f t="shared" si="29"/>
        <v>Medium</v>
      </c>
      <c r="Q463" t="str">
        <f t="shared" si="30"/>
        <v>Yes</v>
      </c>
      <c r="R463" s="10">
        <f t="shared" si="31"/>
        <v>0</v>
      </c>
    </row>
    <row r="464" spans="1:18">
      <c r="A464" t="s">
        <v>382</v>
      </c>
      <c r="B464" t="s">
        <v>383</v>
      </c>
      <c r="C464" t="s">
        <v>384</v>
      </c>
      <c r="D464" t="s">
        <v>57</v>
      </c>
      <c r="E464" t="s">
        <v>34</v>
      </c>
      <c r="F464" t="s">
        <v>58</v>
      </c>
      <c r="G464" s="7">
        <v>45694</v>
      </c>
      <c r="H464">
        <v>94</v>
      </c>
      <c r="I464">
        <v>0</v>
      </c>
      <c r="J464" t="s">
        <v>36</v>
      </c>
      <c r="K464" t="s">
        <v>25</v>
      </c>
      <c r="L464" t="s">
        <v>37</v>
      </c>
      <c r="M464">
        <v>43</v>
      </c>
      <c r="N464" t="s">
        <v>27</v>
      </c>
      <c r="O464" t="str">
        <f t="shared" si="28"/>
        <v>2025-02</v>
      </c>
      <c r="P464" t="str">
        <f t="shared" si="29"/>
        <v>High</v>
      </c>
      <c r="Q464" t="str">
        <f t="shared" si="30"/>
        <v>No</v>
      </c>
      <c r="R464" s="10">
        <f t="shared" si="31"/>
        <v>0</v>
      </c>
    </row>
    <row r="465" spans="1:18">
      <c r="A465" t="s">
        <v>803</v>
      </c>
      <c r="B465" t="s">
        <v>804</v>
      </c>
      <c r="C465" t="s">
        <v>805</v>
      </c>
      <c r="D465" t="s">
        <v>49</v>
      </c>
      <c r="E465" t="s">
        <v>22</v>
      </c>
      <c r="F465" t="s">
        <v>73</v>
      </c>
      <c r="G465" s="7">
        <v>45782</v>
      </c>
      <c r="H465">
        <v>63</v>
      </c>
      <c r="I465">
        <v>0</v>
      </c>
      <c r="J465" t="s">
        <v>36</v>
      </c>
      <c r="K465" t="s">
        <v>25</v>
      </c>
      <c r="L465" t="s">
        <v>26</v>
      </c>
      <c r="M465">
        <v>43</v>
      </c>
      <c r="N465" t="s">
        <v>27</v>
      </c>
      <c r="O465" t="str">
        <f t="shared" si="28"/>
        <v>2025-05</v>
      </c>
      <c r="P465" t="str">
        <f t="shared" si="29"/>
        <v>High</v>
      </c>
      <c r="Q465" t="str">
        <f t="shared" si="30"/>
        <v>No</v>
      </c>
      <c r="R465" s="10">
        <f t="shared" si="31"/>
        <v>0</v>
      </c>
    </row>
    <row r="466" spans="1:18">
      <c r="A466" t="s">
        <v>506</v>
      </c>
      <c r="B466" t="s">
        <v>507</v>
      </c>
      <c r="C466" t="s">
        <v>508</v>
      </c>
      <c r="D466" t="s">
        <v>49</v>
      </c>
      <c r="E466" t="s">
        <v>22</v>
      </c>
      <c r="F466" t="s">
        <v>43</v>
      </c>
      <c r="G466" s="7">
        <v>45725</v>
      </c>
      <c r="H466">
        <v>172</v>
      </c>
      <c r="I466">
        <v>0</v>
      </c>
      <c r="J466" t="s">
        <v>36</v>
      </c>
      <c r="K466" t="s">
        <v>25</v>
      </c>
      <c r="L466" t="s">
        <v>37</v>
      </c>
      <c r="M466">
        <v>15</v>
      </c>
      <c r="N466" t="s">
        <v>30</v>
      </c>
      <c r="O466" t="str">
        <f t="shared" si="28"/>
        <v>2025-03</v>
      </c>
      <c r="P466" t="str">
        <f t="shared" si="29"/>
        <v>High</v>
      </c>
      <c r="Q466" t="str">
        <f t="shared" si="30"/>
        <v>No</v>
      </c>
      <c r="R466" s="10">
        <f t="shared" si="31"/>
        <v>1</v>
      </c>
    </row>
    <row r="467" spans="1:18">
      <c r="A467" t="s">
        <v>1507</v>
      </c>
      <c r="B467" t="s">
        <v>1508</v>
      </c>
      <c r="C467" t="s">
        <v>1509</v>
      </c>
      <c r="D467" t="s">
        <v>21</v>
      </c>
      <c r="E467" t="s">
        <v>42</v>
      </c>
      <c r="F467" t="s">
        <v>23</v>
      </c>
      <c r="G467" s="7">
        <v>45651</v>
      </c>
      <c r="H467">
        <v>38</v>
      </c>
      <c r="I467">
        <v>0</v>
      </c>
      <c r="J467" t="s">
        <v>36</v>
      </c>
      <c r="K467" t="s">
        <v>66</v>
      </c>
      <c r="L467" t="s">
        <v>37</v>
      </c>
      <c r="M467">
        <v>23</v>
      </c>
      <c r="N467" t="s">
        <v>27</v>
      </c>
      <c r="O467" t="str">
        <f t="shared" si="28"/>
        <v>2024-12</v>
      </c>
      <c r="P467" t="str">
        <f t="shared" si="29"/>
        <v>Medium</v>
      </c>
      <c r="Q467" t="str">
        <f t="shared" si="30"/>
        <v>No</v>
      </c>
      <c r="R467" s="10">
        <f t="shared" si="31"/>
        <v>0</v>
      </c>
    </row>
    <row r="468" spans="1:18">
      <c r="A468" t="s">
        <v>38</v>
      </c>
      <c r="B468" t="s">
        <v>39</v>
      </c>
      <c r="C468" t="s">
        <v>40</v>
      </c>
      <c r="D468" t="s">
        <v>41</v>
      </c>
      <c r="E468" t="s">
        <v>42</v>
      </c>
      <c r="F468" t="s">
        <v>43</v>
      </c>
      <c r="G468" s="7">
        <v>45654</v>
      </c>
      <c r="H468">
        <v>132</v>
      </c>
      <c r="I468">
        <v>18</v>
      </c>
      <c r="J468" t="s">
        <v>44</v>
      </c>
      <c r="K468" t="s">
        <v>45</v>
      </c>
      <c r="L468" t="s">
        <v>26</v>
      </c>
      <c r="M468">
        <v>3</v>
      </c>
      <c r="N468" t="s">
        <v>27</v>
      </c>
      <c r="O468" t="str">
        <f t="shared" si="28"/>
        <v>2024-12</v>
      </c>
      <c r="P468" t="str">
        <f t="shared" si="29"/>
        <v>High</v>
      </c>
      <c r="Q468" t="str">
        <f t="shared" si="30"/>
        <v>Yes</v>
      </c>
      <c r="R468" s="10">
        <f t="shared" si="31"/>
        <v>0</v>
      </c>
    </row>
    <row r="469" spans="1:18">
      <c r="A469" t="s">
        <v>791</v>
      </c>
      <c r="B469" t="s">
        <v>792</v>
      </c>
      <c r="C469" t="s">
        <v>793</v>
      </c>
      <c r="D469" t="s">
        <v>49</v>
      </c>
      <c r="E469" t="s">
        <v>22</v>
      </c>
      <c r="F469" t="s">
        <v>73</v>
      </c>
      <c r="G469" s="7">
        <v>45799</v>
      </c>
      <c r="H469">
        <v>164</v>
      </c>
      <c r="I469">
        <v>0</v>
      </c>
      <c r="J469" t="s">
        <v>36</v>
      </c>
      <c r="K469" t="s">
        <v>53</v>
      </c>
      <c r="L469" t="s">
        <v>37</v>
      </c>
      <c r="M469">
        <v>40</v>
      </c>
      <c r="N469" t="s">
        <v>30</v>
      </c>
      <c r="O469" t="str">
        <f t="shared" si="28"/>
        <v>2025-05</v>
      </c>
      <c r="P469" t="str">
        <f t="shared" si="29"/>
        <v>High</v>
      </c>
      <c r="Q469" t="str">
        <f t="shared" si="30"/>
        <v>No</v>
      </c>
      <c r="R469" s="10">
        <f t="shared" si="31"/>
        <v>1</v>
      </c>
    </row>
    <row r="470" spans="1:18">
      <c r="A470" t="s">
        <v>180</v>
      </c>
      <c r="B470" t="s">
        <v>181</v>
      </c>
      <c r="C470" t="s">
        <v>182</v>
      </c>
      <c r="D470" t="s">
        <v>41</v>
      </c>
      <c r="E470" t="s">
        <v>22</v>
      </c>
      <c r="F470" t="s">
        <v>35</v>
      </c>
      <c r="G470" s="7">
        <v>45665</v>
      </c>
      <c r="H470">
        <v>166</v>
      </c>
      <c r="I470">
        <v>23.59</v>
      </c>
      <c r="J470" t="s">
        <v>44</v>
      </c>
      <c r="K470" t="s">
        <v>25</v>
      </c>
      <c r="L470" t="s">
        <v>26</v>
      </c>
      <c r="M470">
        <v>19</v>
      </c>
      <c r="N470" t="s">
        <v>30</v>
      </c>
      <c r="O470" t="str">
        <f t="shared" si="28"/>
        <v>2025-01</v>
      </c>
      <c r="P470" t="str">
        <f t="shared" si="29"/>
        <v>High</v>
      </c>
      <c r="Q470" t="str">
        <f t="shared" si="30"/>
        <v>Yes</v>
      </c>
      <c r="R470" s="10">
        <f t="shared" si="31"/>
        <v>1</v>
      </c>
    </row>
    <row r="471" spans="1:18">
      <c r="A471" t="s">
        <v>788</v>
      </c>
      <c r="B471" t="s">
        <v>789</v>
      </c>
      <c r="C471" t="s">
        <v>790</v>
      </c>
      <c r="D471" t="s">
        <v>49</v>
      </c>
      <c r="E471" t="s">
        <v>42</v>
      </c>
      <c r="F471" t="s">
        <v>35</v>
      </c>
      <c r="G471" s="7">
        <v>45788</v>
      </c>
      <c r="H471">
        <v>73</v>
      </c>
      <c r="I471">
        <v>0</v>
      </c>
      <c r="J471" t="s">
        <v>36</v>
      </c>
      <c r="K471" t="s">
        <v>25</v>
      </c>
      <c r="L471" t="s">
        <v>37</v>
      </c>
      <c r="M471">
        <v>46</v>
      </c>
      <c r="N471" t="s">
        <v>27</v>
      </c>
      <c r="O471" t="str">
        <f t="shared" si="28"/>
        <v>2025-05</v>
      </c>
      <c r="P471" t="str">
        <f t="shared" si="29"/>
        <v>High</v>
      </c>
      <c r="Q471" t="str">
        <f t="shared" si="30"/>
        <v>No</v>
      </c>
      <c r="R471" s="10">
        <f t="shared" si="31"/>
        <v>0</v>
      </c>
    </row>
    <row r="472" spans="1:18">
      <c r="A472" t="s">
        <v>1510</v>
      </c>
      <c r="B472" t="s">
        <v>1220</v>
      </c>
      <c r="C472" t="s">
        <v>1511</v>
      </c>
      <c r="D472" t="s">
        <v>57</v>
      </c>
      <c r="E472" t="s">
        <v>34</v>
      </c>
      <c r="F472" t="s">
        <v>23</v>
      </c>
      <c r="G472" s="7">
        <v>45749</v>
      </c>
      <c r="H472">
        <v>55</v>
      </c>
      <c r="I472">
        <v>40.58</v>
      </c>
      <c r="J472" t="s">
        <v>173</v>
      </c>
      <c r="K472" t="s">
        <v>25</v>
      </c>
      <c r="L472" t="s">
        <v>26</v>
      </c>
      <c r="M472">
        <v>14</v>
      </c>
      <c r="N472" t="s">
        <v>30</v>
      </c>
      <c r="O472" t="str">
        <f t="shared" si="28"/>
        <v>2025-04</v>
      </c>
      <c r="P472" t="str">
        <f t="shared" si="29"/>
        <v>Medium</v>
      </c>
      <c r="Q472" t="str">
        <f t="shared" si="30"/>
        <v>Yes</v>
      </c>
      <c r="R472" s="10">
        <f t="shared" si="31"/>
        <v>1</v>
      </c>
    </row>
    <row r="473" spans="1:18">
      <c r="A473" t="s">
        <v>1512</v>
      </c>
      <c r="B473" t="s">
        <v>1513</v>
      </c>
      <c r="C473" t="s">
        <v>1514</v>
      </c>
      <c r="D473" t="s">
        <v>49</v>
      </c>
      <c r="E473" t="s">
        <v>42</v>
      </c>
      <c r="F473" t="s">
        <v>80</v>
      </c>
      <c r="G473" s="7">
        <v>45808</v>
      </c>
      <c r="H473">
        <v>22</v>
      </c>
      <c r="I473">
        <v>0</v>
      </c>
      <c r="J473" t="s">
        <v>36</v>
      </c>
      <c r="K473" t="s">
        <v>25</v>
      </c>
      <c r="L473" t="s">
        <v>37</v>
      </c>
      <c r="M473">
        <v>36</v>
      </c>
      <c r="N473" t="s">
        <v>27</v>
      </c>
      <c r="O473" t="str">
        <f t="shared" si="28"/>
        <v>2025-05</v>
      </c>
      <c r="P473" t="str">
        <f t="shared" si="29"/>
        <v>Medium</v>
      </c>
      <c r="Q473" t="str">
        <f t="shared" si="30"/>
        <v>No</v>
      </c>
      <c r="R473" s="10">
        <f t="shared" si="31"/>
        <v>0</v>
      </c>
    </row>
    <row r="474" spans="1:18">
      <c r="A474" t="s">
        <v>1515</v>
      </c>
      <c r="B474" t="s">
        <v>1516</v>
      </c>
      <c r="C474" t="s">
        <v>1517</v>
      </c>
      <c r="D474" t="s">
        <v>57</v>
      </c>
      <c r="E474" t="s">
        <v>22</v>
      </c>
      <c r="F474" t="s">
        <v>43</v>
      </c>
      <c r="G474" s="7">
        <v>45811</v>
      </c>
      <c r="H474">
        <v>56</v>
      </c>
      <c r="I474">
        <v>0</v>
      </c>
      <c r="J474" t="s">
        <v>36</v>
      </c>
      <c r="K474" t="s">
        <v>25</v>
      </c>
      <c r="L474" t="s">
        <v>37</v>
      </c>
      <c r="M474">
        <v>34</v>
      </c>
      <c r="N474" t="s">
        <v>27</v>
      </c>
      <c r="O474" t="str">
        <f t="shared" si="28"/>
        <v>2025-06</v>
      </c>
      <c r="P474" t="str">
        <f t="shared" si="29"/>
        <v>Medium</v>
      </c>
      <c r="Q474" t="str">
        <f t="shared" si="30"/>
        <v>No</v>
      </c>
      <c r="R474" s="10">
        <f t="shared" si="31"/>
        <v>0</v>
      </c>
    </row>
    <row r="475" spans="1:18">
      <c r="A475" t="s">
        <v>1518</v>
      </c>
      <c r="B475" t="s">
        <v>1519</v>
      </c>
      <c r="C475" t="s">
        <v>1520</v>
      </c>
      <c r="D475" t="s">
        <v>62</v>
      </c>
      <c r="E475" t="s">
        <v>22</v>
      </c>
      <c r="F475" t="s">
        <v>35</v>
      </c>
      <c r="G475" s="7">
        <v>45742</v>
      </c>
      <c r="H475">
        <v>9</v>
      </c>
      <c r="I475">
        <v>0</v>
      </c>
      <c r="J475" t="s">
        <v>36</v>
      </c>
      <c r="K475" t="s">
        <v>25</v>
      </c>
      <c r="L475" t="s">
        <v>37</v>
      </c>
      <c r="M475">
        <v>21</v>
      </c>
      <c r="N475" t="s">
        <v>27</v>
      </c>
      <c r="O475" t="str">
        <f t="shared" si="28"/>
        <v>2025-03</v>
      </c>
      <c r="P475" t="str">
        <f t="shared" si="29"/>
        <v>Low</v>
      </c>
      <c r="Q475" t="str">
        <f t="shared" si="30"/>
        <v>No</v>
      </c>
      <c r="R475" s="10">
        <f t="shared" si="31"/>
        <v>0</v>
      </c>
    </row>
    <row r="476" spans="1:18">
      <c r="A476" t="s">
        <v>1521</v>
      </c>
      <c r="B476" t="s">
        <v>1522</v>
      </c>
      <c r="C476" t="s">
        <v>1523</v>
      </c>
      <c r="D476" t="s">
        <v>57</v>
      </c>
      <c r="E476" t="s">
        <v>22</v>
      </c>
      <c r="F476" t="s">
        <v>73</v>
      </c>
      <c r="G476" s="7">
        <v>45714</v>
      </c>
      <c r="H476">
        <v>54</v>
      </c>
      <c r="I476">
        <v>19.649999999999999</v>
      </c>
      <c r="J476" t="s">
        <v>129</v>
      </c>
      <c r="K476" t="s">
        <v>25</v>
      </c>
      <c r="L476" t="s">
        <v>26</v>
      </c>
      <c r="M476">
        <v>38</v>
      </c>
      <c r="N476" t="s">
        <v>27</v>
      </c>
      <c r="O476" t="str">
        <f t="shared" si="28"/>
        <v>2025-02</v>
      </c>
      <c r="P476" t="str">
        <f t="shared" si="29"/>
        <v>Medium</v>
      </c>
      <c r="Q476" t="str">
        <f t="shared" si="30"/>
        <v>Yes</v>
      </c>
      <c r="R476" s="10">
        <f t="shared" si="31"/>
        <v>0</v>
      </c>
    </row>
    <row r="477" spans="1:18">
      <c r="A477" t="s">
        <v>376</v>
      </c>
      <c r="B477" t="s">
        <v>377</v>
      </c>
      <c r="C477" t="s">
        <v>378</v>
      </c>
      <c r="D477" t="s">
        <v>21</v>
      </c>
      <c r="E477" t="s">
        <v>22</v>
      </c>
      <c r="F477" t="s">
        <v>80</v>
      </c>
      <c r="G477" s="7">
        <v>45693</v>
      </c>
      <c r="H477">
        <v>85</v>
      </c>
      <c r="I477">
        <v>0</v>
      </c>
      <c r="J477" t="s">
        <v>36</v>
      </c>
      <c r="K477" t="s">
        <v>53</v>
      </c>
      <c r="L477" t="s">
        <v>26</v>
      </c>
      <c r="M477">
        <v>12</v>
      </c>
      <c r="N477" t="s">
        <v>27</v>
      </c>
      <c r="O477" t="str">
        <f t="shared" si="28"/>
        <v>2025-02</v>
      </c>
      <c r="P477" t="str">
        <f t="shared" si="29"/>
        <v>High</v>
      </c>
      <c r="Q477" t="str">
        <f t="shared" si="30"/>
        <v>No</v>
      </c>
      <c r="R477" s="10">
        <f t="shared" si="31"/>
        <v>0</v>
      </c>
    </row>
    <row r="478" spans="1:18">
      <c r="A478" t="s">
        <v>174</v>
      </c>
      <c r="B478" t="s">
        <v>175</v>
      </c>
      <c r="C478" t="s">
        <v>176</v>
      </c>
      <c r="D478" t="s">
        <v>57</v>
      </c>
      <c r="E478" t="s">
        <v>34</v>
      </c>
      <c r="F478" t="s">
        <v>58</v>
      </c>
      <c r="G478" s="7">
        <v>45673</v>
      </c>
      <c r="H478">
        <v>111</v>
      </c>
      <c r="I478">
        <v>0</v>
      </c>
      <c r="J478" t="s">
        <v>36</v>
      </c>
      <c r="K478" t="s">
        <v>25</v>
      </c>
      <c r="L478" t="s">
        <v>37</v>
      </c>
      <c r="M478">
        <v>38</v>
      </c>
      <c r="N478" t="s">
        <v>27</v>
      </c>
      <c r="O478" t="str">
        <f t="shared" si="28"/>
        <v>2025-01</v>
      </c>
      <c r="P478" t="str">
        <f t="shared" si="29"/>
        <v>High</v>
      </c>
      <c r="Q478" t="str">
        <f t="shared" si="30"/>
        <v>No</v>
      </c>
      <c r="R478" s="10">
        <f t="shared" si="31"/>
        <v>0</v>
      </c>
    </row>
    <row r="479" spans="1:18">
      <c r="A479" t="s">
        <v>785</v>
      </c>
      <c r="B479" t="s">
        <v>786</v>
      </c>
      <c r="C479" t="s">
        <v>787</v>
      </c>
      <c r="D479" t="s">
        <v>62</v>
      </c>
      <c r="E479" t="s">
        <v>42</v>
      </c>
      <c r="F479" t="s">
        <v>80</v>
      </c>
      <c r="G479" s="7">
        <v>45795</v>
      </c>
      <c r="H479">
        <v>93</v>
      </c>
      <c r="I479">
        <v>0</v>
      </c>
      <c r="J479" t="s">
        <v>36</v>
      </c>
      <c r="K479" t="s">
        <v>25</v>
      </c>
      <c r="L479" t="s">
        <v>37</v>
      </c>
      <c r="M479">
        <v>26</v>
      </c>
      <c r="N479" t="s">
        <v>27</v>
      </c>
      <c r="O479" t="str">
        <f t="shared" si="28"/>
        <v>2025-05</v>
      </c>
      <c r="P479" t="str">
        <f t="shared" si="29"/>
        <v>High</v>
      </c>
      <c r="Q479" t="str">
        <f t="shared" si="30"/>
        <v>No</v>
      </c>
      <c r="R479" s="10">
        <f t="shared" si="31"/>
        <v>0</v>
      </c>
    </row>
    <row r="480" spans="1:18">
      <c r="A480" t="s">
        <v>782</v>
      </c>
      <c r="B480" t="s">
        <v>783</v>
      </c>
      <c r="C480" t="s">
        <v>784</v>
      </c>
      <c r="D480" t="s">
        <v>62</v>
      </c>
      <c r="E480" t="s">
        <v>42</v>
      </c>
      <c r="F480" t="s">
        <v>23</v>
      </c>
      <c r="G480" s="7">
        <v>45800</v>
      </c>
      <c r="H480">
        <v>103</v>
      </c>
      <c r="I480">
        <v>0</v>
      </c>
      <c r="J480" t="s">
        <v>36</v>
      </c>
      <c r="K480" t="s">
        <v>25</v>
      </c>
      <c r="L480" t="s">
        <v>37</v>
      </c>
      <c r="M480">
        <v>11</v>
      </c>
      <c r="N480" t="s">
        <v>27</v>
      </c>
      <c r="O480" t="str">
        <f t="shared" si="28"/>
        <v>2025-05</v>
      </c>
      <c r="P480" t="str">
        <f t="shared" si="29"/>
        <v>High</v>
      </c>
      <c r="Q480" t="str">
        <f t="shared" si="30"/>
        <v>No</v>
      </c>
      <c r="R480" s="10">
        <f t="shared" si="31"/>
        <v>0</v>
      </c>
    </row>
    <row r="481" spans="1:18">
      <c r="A481" t="s">
        <v>1524</v>
      </c>
      <c r="B481" t="s">
        <v>1525</v>
      </c>
      <c r="C481" t="s">
        <v>1526</v>
      </c>
      <c r="D481" t="s">
        <v>57</v>
      </c>
      <c r="E481" t="s">
        <v>42</v>
      </c>
      <c r="F481" t="s">
        <v>73</v>
      </c>
      <c r="G481" s="7">
        <v>45773</v>
      </c>
      <c r="H481">
        <v>44</v>
      </c>
      <c r="I481">
        <v>0</v>
      </c>
      <c r="J481" t="s">
        <v>36</v>
      </c>
      <c r="K481" t="s">
        <v>53</v>
      </c>
      <c r="L481" t="s">
        <v>37</v>
      </c>
      <c r="M481">
        <v>29</v>
      </c>
      <c r="N481" t="s">
        <v>27</v>
      </c>
      <c r="O481" t="str">
        <f t="shared" si="28"/>
        <v>2025-04</v>
      </c>
      <c r="P481" t="str">
        <f t="shared" si="29"/>
        <v>Medium</v>
      </c>
      <c r="Q481" t="str">
        <f t="shared" si="30"/>
        <v>No</v>
      </c>
      <c r="R481" s="10">
        <f t="shared" si="31"/>
        <v>0</v>
      </c>
    </row>
    <row r="482" spans="1:18">
      <c r="A482" t="s">
        <v>370</v>
      </c>
      <c r="B482" t="s">
        <v>371</v>
      </c>
      <c r="C482" t="s">
        <v>372</v>
      </c>
      <c r="D482" t="s">
        <v>49</v>
      </c>
      <c r="E482" t="s">
        <v>34</v>
      </c>
      <c r="F482" t="s">
        <v>43</v>
      </c>
      <c r="G482" s="7">
        <v>45689</v>
      </c>
      <c r="H482">
        <v>134</v>
      </c>
      <c r="I482">
        <v>0</v>
      </c>
      <c r="J482" t="s">
        <v>36</v>
      </c>
      <c r="K482" t="s">
        <v>25</v>
      </c>
      <c r="L482" t="s">
        <v>37</v>
      </c>
      <c r="M482">
        <v>41</v>
      </c>
      <c r="N482" t="s">
        <v>27</v>
      </c>
      <c r="O482" t="str">
        <f t="shared" si="28"/>
        <v>2025-02</v>
      </c>
      <c r="P482" t="str">
        <f t="shared" si="29"/>
        <v>High</v>
      </c>
      <c r="Q482" t="str">
        <f t="shared" si="30"/>
        <v>No</v>
      </c>
      <c r="R482" s="10">
        <f t="shared" si="31"/>
        <v>0</v>
      </c>
    </row>
    <row r="483" spans="1:18">
      <c r="A483" t="s">
        <v>776</v>
      </c>
      <c r="B483" t="s">
        <v>777</v>
      </c>
      <c r="C483" t="s">
        <v>778</v>
      </c>
      <c r="D483" t="s">
        <v>21</v>
      </c>
      <c r="E483" t="s">
        <v>22</v>
      </c>
      <c r="F483" t="s">
        <v>43</v>
      </c>
      <c r="G483" s="7">
        <v>45804</v>
      </c>
      <c r="H483">
        <v>167</v>
      </c>
      <c r="I483">
        <v>0</v>
      </c>
      <c r="J483" t="s">
        <v>36</v>
      </c>
      <c r="K483" t="s">
        <v>25</v>
      </c>
      <c r="L483" t="s">
        <v>37</v>
      </c>
      <c r="M483">
        <v>28</v>
      </c>
      <c r="N483" t="s">
        <v>30</v>
      </c>
      <c r="O483" t="str">
        <f t="shared" si="28"/>
        <v>2025-05</v>
      </c>
      <c r="P483" t="str">
        <f t="shared" si="29"/>
        <v>High</v>
      </c>
      <c r="Q483" t="str">
        <f t="shared" si="30"/>
        <v>No</v>
      </c>
      <c r="R483" s="10">
        <f t="shared" si="31"/>
        <v>1</v>
      </c>
    </row>
    <row r="484" spans="1:18">
      <c r="A484" t="s">
        <v>494</v>
      </c>
      <c r="B484" t="s">
        <v>495</v>
      </c>
      <c r="C484" t="s">
        <v>496</v>
      </c>
      <c r="D484" t="s">
        <v>21</v>
      </c>
      <c r="E484" t="s">
        <v>22</v>
      </c>
      <c r="F484" t="s">
        <v>43</v>
      </c>
      <c r="G484" s="7">
        <v>45717</v>
      </c>
      <c r="H484">
        <v>149</v>
      </c>
      <c r="I484">
        <v>5.05</v>
      </c>
      <c r="J484" t="s">
        <v>24</v>
      </c>
      <c r="K484" t="s">
        <v>25</v>
      </c>
      <c r="L484" t="s">
        <v>26</v>
      </c>
      <c r="M484">
        <v>44</v>
      </c>
      <c r="N484" t="s">
        <v>27</v>
      </c>
      <c r="O484" t="str">
        <f t="shared" si="28"/>
        <v>2025-03</v>
      </c>
      <c r="P484" t="str">
        <f t="shared" si="29"/>
        <v>High</v>
      </c>
      <c r="Q484" t="str">
        <f t="shared" si="30"/>
        <v>Yes</v>
      </c>
      <c r="R484" s="10">
        <f t="shared" si="31"/>
        <v>0</v>
      </c>
    </row>
    <row r="485" spans="1:18">
      <c r="A485" t="s">
        <v>621</v>
      </c>
      <c r="B485" t="s">
        <v>622</v>
      </c>
      <c r="C485" t="s">
        <v>623</v>
      </c>
      <c r="D485" t="s">
        <v>57</v>
      </c>
      <c r="E485" t="s">
        <v>34</v>
      </c>
      <c r="F485" t="s">
        <v>73</v>
      </c>
      <c r="G485" s="7">
        <v>45763</v>
      </c>
      <c r="H485">
        <v>139</v>
      </c>
      <c r="I485">
        <v>0</v>
      </c>
      <c r="J485" t="s">
        <v>36</v>
      </c>
      <c r="K485" t="s">
        <v>25</v>
      </c>
      <c r="L485" t="s">
        <v>37</v>
      </c>
      <c r="M485">
        <v>19</v>
      </c>
      <c r="N485" t="s">
        <v>27</v>
      </c>
      <c r="O485" t="str">
        <f t="shared" si="28"/>
        <v>2025-04</v>
      </c>
      <c r="P485" t="str">
        <f t="shared" si="29"/>
        <v>High</v>
      </c>
      <c r="Q485" t="str">
        <f t="shared" si="30"/>
        <v>No</v>
      </c>
      <c r="R485" s="10">
        <f t="shared" si="31"/>
        <v>0</v>
      </c>
    </row>
    <row r="486" spans="1:18">
      <c r="A486" t="s">
        <v>488</v>
      </c>
      <c r="B486" t="s">
        <v>489</v>
      </c>
      <c r="C486" t="s">
        <v>490</v>
      </c>
      <c r="D486" t="s">
        <v>41</v>
      </c>
      <c r="E486" t="s">
        <v>22</v>
      </c>
      <c r="F486" t="s">
        <v>35</v>
      </c>
      <c r="G486" s="7">
        <v>45725</v>
      </c>
      <c r="H486">
        <v>64</v>
      </c>
      <c r="I486">
        <v>0</v>
      </c>
      <c r="J486" t="s">
        <v>36</v>
      </c>
      <c r="K486" t="s">
        <v>45</v>
      </c>
      <c r="L486" t="s">
        <v>37</v>
      </c>
      <c r="M486">
        <v>33</v>
      </c>
      <c r="N486" t="s">
        <v>27</v>
      </c>
      <c r="O486" t="str">
        <f t="shared" si="28"/>
        <v>2025-03</v>
      </c>
      <c r="P486" t="str">
        <f t="shared" si="29"/>
        <v>High</v>
      </c>
      <c r="Q486" t="str">
        <f t="shared" si="30"/>
        <v>No</v>
      </c>
      <c r="R486" s="10">
        <f t="shared" si="31"/>
        <v>0</v>
      </c>
    </row>
    <row r="487" spans="1:18">
      <c r="A487" t="s">
        <v>618</v>
      </c>
      <c r="B487" t="s">
        <v>619</v>
      </c>
      <c r="C487" t="s">
        <v>620</v>
      </c>
      <c r="D487" t="s">
        <v>62</v>
      </c>
      <c r="E487" t="s">
        <v>34</v>
      </c>
      <c r="F487" t="s">
        <v>35</v>
      </c>
      <c r="G487" s="7">
        <v>45748</v>
      </c>
      <c r="H487">
        <v>86</v>
      </c>
      <c r="I487">
        <v>0</v>
      </c>
      <c r="J487" t="s">
        <v>36</v>
      </c>
      <c r="K487" t="s">
        <v>25</v>
      </c>
      <c r="L487" t="s">
        <v>37</v>
      </c>
      <c r="M487">
        <v>17</v>
      </c>
      <c r="N487" t="s">
        <v>27</v>
      </c>
      <c r="O487" t="str">
        <f t="shared" si="28"/>
        <v>2025-04</v>
      </c>
      <c r="P487" t="str">
        <f t="shared" si="29"/>
        <v>High</v>
      </c>
      <c r="Q487" t="str">
        <f t="shared" si="30"/>
        <v>No</v>
      </c>
      <c r="R487" s="10">
        <f t="shared" si="31"/>
        <v>0</v>
      </c>
    </row>
    <row r="488" spans="1:18">
      <c r="A488" t="s">
        <v>1527</v>
      </c>
      <c r="B488" t="s">
        <v>1528</v>
      </c>
      <c r="C488" t="s">
        <v>1529</v>
      </c>
      <c r="D488" t="s">
        <v>62</v>
      </c>
      <c r="E488" t="s">
        <v>22</v>
      </c>
      <c r="F488" t="s">
        <v>35</v>
      </c>
      <c r="G488" s="7">
        <v>45764</v>
      </c>
      <c r="H488">
        <v>13</v>
      </c>
      <c r="I488">
        <v>0</v>
      </c>
      <c r="J488" t="s">
        <v>36</v>
      </c>
      <c r="K488" t="s">
        <v>25</v>
      </c>
      <c r="L488" t="s">
        <v>37</v>
      </c>
      <c r="M488">
        <v>47</v>
      </c>
      <c r="N488" t="s">
        <v>27</v>
      </c>
      <c r="O488" t="str">
        <f t="shared" si="28"/>
        <v>2025-04</v>
      </c>
      <c r="P488" t="str">
        <f t="shared" si="29"/>
        <v>Low</v>
      </c>
      <c r="Q488" t="str">
        <f t="shared" si="30"/>
        <v>No</v>
      </c>
      <c r="R488" s="10">
        <f t="shared" si="31"/>
        <v>0</v>
      </c>
    </row>
    <row r="489" spans="1:18">
      <c r="A489" t="s">
        <v>1530</v>
      </c>
      <c r="B489" t="s">
        <v>1531</v>
      </c>
      <c r="C489" t="s">
        <v>1532</v>
      </c>
      <c r="D489" t="s">
        <v>62</v>
      </c>
      <c r="E489" t="s">
        <v>22</v>
      </c>
      <c r="F489" t="s">
        <v>35</v>
      </c>
      <c r="G489" s="7">
        <v>45821</v>
      </c>
      <c r="H489">
        <v>11</v>
      </c>
      <c r="I489">
        <v>20.66</v>
      </c>
      <c r="J489" t="s">
        <v>44</v>
      </c>
      <c r="K489" t="s">
        <v>25</v>
      </c>
      <c r="L489" t="s">
        <v>26</v>
      </c>
      <c r="M489">
        <v>40</v>
      </c>
      <c r="N489" t="s">
        <v>27</v>
      </c>
      <c r="O489" t="str">
        <f t="shared" si="28"/>
        <v>2025-06</v>
      </c>
      <c r="P489" t="str">
        <f t="shared" si="29"/>
        <v>Low</v>
      </c>
      <c r="Q489" t="str">
        <f t="shared" si="30"/>
        <v>Yes</v>
      </c>
      <c r="R489" s="10">
        <f t="shared" si="31"/>
        <v>0</v>
      </c>
    </row>
    <row r="490" spans="1:18">
      <c r="A490" t="s">
        <v>1533</v>
      </c>
      <c r="B490" t="s">
        <v>1534</v>
      </c>
      <c r="C490" t="s">
        <v>1535</v>
      </c>
      <c r="D490" t="s">
        <v>57</v>
      </c>
      <c r="E490" t="s">
        <v>22</v>
      </c>
      <c r="F490" t="s">
        <v>80</v>
      </c>
      <c r="G490" s="7">
        <v>45662</v>
      </c>
      <c r="H490">
        <v>55</v>
      </c>
      <c r="I490">
        <v>0</v>
      </c>
      <c r="J490" t="s">
        <v>36</v>
      </c>
      <c r="K490" t="s">
        <v>66</v>
      </c>
      <c r="L490" t="s">
        <v>37</v>
      </c>
      <c r="M490">
        <v>26</v>
      </c>
      <c r="N490" t="s">
        <v>27</v>
      </c>
      <c r="O490" t="str">
        <f t="shared" si="28"/>
        <v>2025-01</v>
      </c>
      <c r="P490" t="str">
        <f t="shared" si="29"/>
        <v>Medium</v>
      </c>
      <c r="Q490" t="str">
        <f t="shared" si="30"/>
        <v>No</v>
      </c>
      <c r="R490" s="10">
        <f t="shared" si="31"/>
        <v>0</v>
      </c>
    </row>
    <row r="491" spans="1:18">
      <c r="A491" t="s">
        <v>764</v>
      </c>
      <c r="B491" t="s">
        <v>765</v>
      </c>
      <c r="C491" t="s">
        <v>766</v>
      </c>
      <c r="D491" t="s">
        <v>41</v>
      </c>
      <c r="E491" t="s">
        <v>42</v>
      </c>
      <c r="F491" t="s">
        <v>73</v>
      </c>
      <c r="G491" s="7">
        <v>45793</v>
      </c>
      <c r="H491">
        <v>146</v>
      </c>
      <c r="I491">
        <v>0</v>
      </c>
      <c r="J491" t="s">
        <v>36</v>
      </c>
      <c r="K491" t="s">
        <v>45</v>
      </c>
      <c r="L491" t="s">
        <v>37</v>
      </c>
      <c r="M491">
        <v>2</v>
      </c>
      <c r="N491" t="s">
        <v>27</v>
      </c>
      <c r="O491" t="str">
        <f t="shared" si="28"/>
        <v>2025-05</v>
      </c>
      <c r="P491" t="str">
        <f t="shared" si="29"/>
        <v>High</v>
      </c>
      <c r="Q491" t="str">
        <f t="shared" si="30"/>
        <v>No</v>
      </c>
      <c r="R491" s="10">
        <f t="shared" si="31"/>
        <v>0</v>
      </c>
    </row>
    <row r="492" spans="1:18">
      <c r="A492" t="s">
        <v>758</v>
      </c>
      <c r="B492" t="s">
        <v>759</v>
      </c>
      <c r="C492" t="s">
        <v>760</v>
      </c>
      <c r="D492" t="s">
        <v>41</v>
      </c>
      <c r="E492" t="s">
        <v>34</v>
      </c>
      <c r="F492" t="s">
        <v>80</v>
      </c>
      <c r="G492" s="7">
        <v>45797</v>
      </c>
      <c r="H492">
        <v>179</v>
      </c>
      <c r="I492">
        <v>0</v>
      </c>
      <c r="J492" t="s">
        <v>36</v>
      </c>
      <c r="K492" t="s">
        <v>25</v>
      </c>
      <c r="L492" t="s">
        <v>37</v>
      </c>
      <c r="M492">
        <v>10</v>
      </c>
      <c r="N492" t="s">
        <v>30</v>
      </c>
      <c r="O492" t="str">
        <f t="shared" si="28"/>
        <v>2025-05</v>
      </c>
      <c r="P492" t="str">
        <f t="shared" si="29"/>
        <v>High</v>
      </c>
      <c r="Q492" t="str">
        <f t="shared" si="30"/>
        <v>No</v>
      </c>
      <c r="R492" s="10">
        <f t="shared" si="31"/>
        <v>1</v>
      </c>
    </row>
    <row r="493" spans="1:18">
      <c r="A493" t="s">
        <v>475</v>
      </c>
      <c r="B493" t="s">
        <v>476</v>
      </c>
      <c r="C493" t="s">
        <v>477</v>
      </c>
      <c r="D493" t="s">
        <v>62</v>
      </c>
      <c r="E493" t="s">
        <v>34</v>
      </c>
      <c r="F493" t="s">
        <v>58</v>
      </c>
      <c r="G493" s="7">
        <v>45738</v>
      </c>
      <c r="H493">
        <v>63</v>
      </c>
      <c r="I493">
        <v>0</v>
      </c>
      <c r="J493" t="s">
        <v>36</v>
      </c>
      <c r="K493" t="s">
        <v>25</v>
      </c>
      <c r="L493" t="s">
        <v>37</v>
      </c>
      <c r="M493">
        <v>4</v>
      </c>
      <c r="N493" t="s">
        <v>27</v>
      </c>
      <c r="O493" t="str">
        <f t="shared" si="28"/>
        <v>2025-03</v>
      </c>
      <c r="P493" t="str">
        <f t="shared" si="29"/>
        <v>High</v>
      </c>
      <c r="Q493" t="str">
        <f t="shared" si="30"/>
        <v>No</v>
      </c>
      <c r="R493" s="10">
        <f t="shared" si="31"/>
        <v>0</v>
      </c>
    </row>
    <row r="494" spans="1:18">
      <c r="A494" t="s">
        <v>1536</v>
      </c>
      <c r="B494" t="s">
        <v>1537</v>
      </c>
      <c r="C494" t="s">
        <v>1538</v>
      </c>
      <c r="D494" t="s">
        <v>21</v>
      </c>
      <c r="E494" t="s">
        <v>34</v>
      </c>
      <c r="F494" t="s">
        <v>35</v>
      </c>
      <c r="G494" s="7">
        <v>45777</v>
      </c>
      <c r="H494">
        <v>21</v>
      </c>
      <c r="I494">
        <v>0</v>
      </c>
      <c r="J494" t="s">
        <v>36</v>
      </c>
      <c r="K494" t="s">
        <v>25</v>
      </c>
      <c r="L494" t="s">
        <v>37</v>
      </c>
      <c r="M494">
        <v>22</v>
      </c>
      <c r="N494" t="s">
        <v>27</v>
      </c>
      <c r="O494" t="str">
        <f t="shared" si="28"/>
        <v>2025-04</v>
      </c>
      <c r="P494" t="str">
        <f t="shared" si="29"/>
        <v>Medium</v>
      </c>
      <c r="Q494" t="str">
        <f t="shared" si="30"/>
        <v>No</v>
      </c>
      <c r="R494" s="10">
        <f t="shared" si="31"/>
        <v>0</v>
      </c>
    </row>
    <row r="495" spans="1:18">
      <c r="A495" t="s">
        <v>1539</v>
      </c>
      <c r="B495" t="s">
        <v>1540</v>
      </c>
      <c r="C495" t="s">
        <v>1541</v>
      </c>
      <c r="D495" t="s">
        <v>41</v>
      </c>
      <c r="E495" t="s">
        <v>34</v>
      </c>
      <c r="F495" t="s">
        <v>35</v>
      </c>
      <c r="G495" s="7">
        <v>45763</v>
      </c>
      <c r="H495">
        <v>56</v>
      </c>
      <c r="I495">
        <v>46.31</v>
      </c>
      <c r="J495" t="s">
        <v>129</v>
      </c>
      <c r="K495" t="s">
        <v>25</v>
      </c>
      <c r="L495" t="s">
        <v>26</v>
      </c>
      <c r="M495">
        <v>11</v>
      </c>
      <c r="N495" t="s">
        <v>30</v>
      </c>
      <c r="O495" t="str">
        <f t="shared" si="28"/>
        <v>2025-04</v>
      </c>
      <c r="P495" t="str">
        <f t="shared" si="29"/>
        <v>Medium</v>
      </c>
      <c r="Q495" t="str">
        <f t="shared" si="30"/>
        <v>Yes</v>
      </c>
      <c r="R495" s="10">
        <f t="shared" si="31"/>
        <v>1</v>
      </c>
    </row>
    <row r="496" spans="1:18">
      <c r="A496" t="s">
        <v>155</v>
      </c>
      <c r="B496" t="s">
        <v>156</v>
      </c>
      <c r="C496" t="s">
        <v>157</v>
      </c>
      <c r="D496" t="s">
        <v>49</v>
      </c>
      <c r="E496" t="s">
        <v>42</v>
      </c>
      <c r="F496" t="s">
        <v>73</v>
      </c>
      <c r="G496" s="7">
        <v>45672</v>
      </c>
      <c r="H496">
        <v>171</v>
      </c>
      <c r="I496">
        <v>0</v>
      </c>
      <c r="J496" t="s">
        <v>36</v>
      </c>
      <c r="K496" t="s">
        <v>25</v>
      </c>
      <c r="L496" t="s">
        <v>37</v>
      </c>
      <c r="M496">
        <v>35</v>
      </c>
      <c r="N496" t="s">
        <v>30</v>
      </c>
      <c r="O496" t="str">
        <f t="shared" si="28"/>
        <v>2025-01</v>
      </c>
      <c r="P496" t="str">
        <f t="shared" si="29"/>
        <v>High</v>
      </c>
      <c r="Q496" t="str">
        <f t="shared" si="30"/>
        <v>No</v>
      </c>
      <c r="R496" s="10">
        <f t="shared" si="31"/>
        <v>1</v>
      </c>
    </row>
    <row r="497" spans="1:18">
      <c r="A497" t="s">
        <v>1542</v>
      </c>
      <c r="B497" t="s">
        <v>1543</v>
      </c>
      <c r="C497" t="s">
        <v>1544</v>
      </c>
      <c r="D497" t="s">
        <v>57</v>
      </c>
      <c r="E497" t="s">
        <v>22</v>
      </c>
      <c r="F497" t="s">
        <v>58</v>
      </c>
      <c r="G497" s="7">
        <v>45743</v>
      </c>
      <c r="H497">
        <v>24</v>
      </c>
      <c r="I497">
        <v>0</v>
      </c>
      <c r="J497" t="s">
        <v>36</v>
      </c>
      <c r="K497" t="s">
        <v>25</v>
      </c>
      <c r="L497" t="s">
        <v>26</v>
      </c>
      <c r="M497">
        <v>33</v>
      </c>
      <c r="N497" t="s">
        <v>27</v>
      </c>
      <c r="O497" t="str">
        <f t="shared" si="28"/>
        <v>2025-03</v>
      </c>
      <c r="P497" t="str">
        <f t="shared" si="29"/>
        <v>Medium</v>
      </c>
      <c r="Q497" t="str">
        <f t="shared" si="30"/>
        <v>No</v>
      </c>
      <c r="R497" s="10">
        <f t="shared" si="31"/>
        <v>0</v>
      </c>
    </row>
    <row r="498" spans="1:18">
      <c r="A498" t="s">
        <v>352</v>
      </c>
      <c r="B498" t="s">
        <v>353</v>
      </c>
      <c r="C498" t="s">
        <v>354</v>
      </c>
      <c r="D498" t="s">
        <v>49</v>
      </c>
      <c r="E498" t="s">
        <v>22</v>
      </c>
      <c r="F498" t="s">
        <v>73</v>
      </c>
      <c r="G498" s="7">
        <v>45702</v>
      </c>
      <c r="H498">
        <v>157</v>
      </c>
      <c r="I498">
        <v>26.84</v>
      </c>
      <c r="J498" t="s">
        <v>24</v>
      </c>
      <c r="K498" t="s">
        <v>25</v>
      </c>
      <c r="L498" t="s">
        <v>26</v>
      </c>
      <c r="M498">
        <v>25</v>
      </c>
      <c r="N498" t="s">
        <v>30</v>
      </c>
      <c r="O498" t="str">
        <f t="shared" si="28"/>
        <v>2025-02</v>
      </c>
      <c r="P498" t="str">
        <f t="shared" si="29"/>
        <v>High</v>
      </c>
      <c r="Q498" t="str">
        <f t="shared" si="30"/>
        <v>Yes</v>
      </c>
      <c r="R498" s="10">
        <f t="shared" si="31"/>
        <v>1</v>
      </c>
    </row>
    <row r="499" spans="1:18">
      <c r="A499" t="s">
        <v>1545</v>
      </c>
      <c r="B499" t="s">
        <v>1546</v>
      </c>
      <c r="C499" t="s">
        <v>1547</v>
      </c>
      <c r="D499" t="s">
        <v>57</v>
      </c>
      <c r="E499" t="s">
        <v>34</v>
      </c>
      <c r="F499" t="s">
        <v>73</v>
      </c>
      <c r="G499" s="7">
        <v>45675</v>
      </c>
      <c r="H499">
        <v>44</v>
      </c>
      <c r="I499">
        <v>0</v>
      </c>
      <c r="J499" t="s">
        <v>36</v>
      </c>
      <c r="K499" t="s">
        <v>25</v>
      </c>
      <c r="L499" t="s">
        <v>37</v>
      </c>
      <c r="M499">
        <v>42</v>
      </c>
      <c r="N499" t="s">
        <v>27</v>
      </c>
      <c r="O499" t="str">
        <f t="shared" si="28"/>
        <v>2025-01</v>
      </c>
      <c r="P499" t="str">
        <f t="shared" si="29"/>
        <v>Medium</v>
      </c>
      <c r="Q499" t="str">
        <f t="shared" si="30"/>
        <v>No</v>
      </c>
      <c r="R499" s="10">
        <f t="shared" si="31"/>
        <v>0</v>
      </c>
    </row>
    <row r="500" spans="1:18">
      <c r="A500" t="s">
        <v>151</v>
      </c>
      <c r="B500" t="s">
        <v>152</v>
      </c>
      <c r="C500" t="s">
        <v>153</v>
      </c>
      <c r="D500" t="s">
        <v>41</v>
      </c>
      <c r="E500" t="s">
        <v>22</v>
      </c>
      <c r="F500" t="s">
        <v>80</v>
      </c>
      <c r="G500" s="7">
        <v>45660</v>
      </c>
      <c r="H500">
        <v>172</v>
      </c>
      <c r="I500">
        <v>0</v>
      </c>
      <c r="J500" t="s">
        <v>36</v>
      </c>
      <c r="K500" t="s">
        <v>66</v>
      </c>
      <c r="L500" t="s">
        <v>37</v>
      </c>
      <c r="M500">
        <v>4</v>
      </c>
      <c r="N500" t="s">
        <v>30</v>
      </c>
      <c r="O500" t="str">
        <f t="shared" si="28"/>
        <v>2025-01</v>
      </c>
      <c r="P500" t="str">
        <f t="shared" si="29"/>
        <v>High</v>
      </c>
      <c r="Q500" t="str">
        <f t="shared" si="30"/>
        <v>No</v>
      </c>
      <c r="R500" s="10">
        <f t="shared" si="31"/>
        <v>1</v>
      </c>
    </row>
    <row r="501" spans="1:18">
      <c r="A501" t="s">
        <v>1548</v>
      </c>
      <c r="B501" t="s">
        <v>1549</v>
      </c>
      <c r="D501" t="s">
        <v>57</v>
      </c>
      <c r="E501" t="s">
        <v>42</v>
      </c>
      <c r="F501" t="s">
        <v>58</v>
      </c>
      <c r="G501" s="7">
        <v>45656</v>
      </c>
      <c r="H501">
        <v>20</v>
      </c>
      <c r="I501">
        <v>0</v>
      </c>
      <c r="J501" t="s">
        <v>36</v>
      </c>
      <c r="K501" t="s">
        <v>25</v>
      </c>
      <c r="L501" t="s">
        <v>26</v>
      </c>
      <c r="M501">
        <v>30</v>
      </c>
      <c r="N501" t="s">
        <v>27</v>
      </c>
      <c r="O501" t="str">
        <f t="shared" si="28"/>
        <v>2024-12</v>
      </c>
      <c r="P501" t="str">
        <f t="shared" si="29"/>
        <v>Medium</v>
      </c>
      <c r="Q501" t="str">
        <f t="shared" si="30"/>
        <v>No</v>
      </c>
      <c r="R501" s="10">
        <f t="shared" si="31"/>
        <v>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1"/>
  <sheetViews>
    <sheetView workbookViewId="0">
      <selection activeCell="C1" sqref="C1"/>
    </sheetView>
  </sheetViews>
  <sheetFormatPr defaultColWidth="9" defaultRowHeight="14.4"/>
  <cols>
    <col min="1" max="1" width="18.44140625" customWidth="1"/>
    <col min="2" max="2" width="20.44140625" customWidth="1"/>
  </cols>
  <sheetData>
    <row r="1" spans="1:2">
      <c r="A1" s="6" t="s">
        <v>2</v>
      </c>
    </row>
    <row r="2" spans="1:2">
      <c r="A2" t="s">
        <v>1550</v>
      </c>
      <c r="B2" t="str">
        <f>PROPER(TRIM(A2))</f>
        <v>Harrisrichard</v>
      </c>
    </row>
    <row r="3" spans="1:2">
      <c r="A3" t="s">
        <v>1551</v>
      </c>
      <c r="B3" t="str">
        <f t="shared" ref="B3:B66" si="0">PROPER(TRIM(A3))</f>
        <v>Wlee</v>
      </c>
    </row>
    <row r="4" spans="1:2">
      <c r="A4" t="s">
        <v>1552</v>
      </c>
      <c r="B4" t="str">
        <f t="shared" si="0"/>
        <v>Katie47</v>
      </c>
    </row>
    <row r="5" spans="1:2">
      <c r="A5" t="s">
        <v>1553</v>
      </c>
      <c r="B5" t="str">
        <f t="shared" si="0"/>
        <v>Isaac85</v>
      </c>
    </row>
    <row r="6" spans="1:2">
      <c r="A6" t="s">
        <v>1554</v>
      </c>
      <c r="B6" t="str">
        <f t="shared" si="0"/>
        <v>Ballarddouglas</v>
      </c>
    </row>
    <row r="7" spans="1:2">
      <c r="A7" t="s">
        <v>1555</v>
      </c>
      <c r="B7" t="str">
        <f t="shared" si="0"/>
        <v>Lrichardson</v>
      </c>
    </row>
    <row r="8" spans="1:2">
      <c r="A8" t="s">
        <v>1556</v>
      </c>
      <c r="B8" t="str">
        <f t="shared" si="0"/>
        <v>Holmesbruce</v>
      </c>
    </row>
    <row r="9" spans="1:2">
      <c r="A9" t="s">
        <v>1557</v>
      </c>
      <c r="B9" t="str">
        <f t="shared" si="0"/>
        <v>Lhansen</v>
      </c>
    </row>
    <row r="10" spans="1:2">
      <c r="A10" t="s">
        <v>1558</v>
      </c>
      <c r="B10" t="str">
        <f t="shared" si="0"/>
        <v>Alexis47</v>
      </c>
    </row>
    <row r="11" spans="1:2">
      <c r="A11" t="s">
        <v>1559</v>
      </c>
      <c r="B11" t="str">
        <f t="shared" si="0"/>
        <v>Ryanmarshall</v>
      </c>
    </row>
    <row r="12" spans="1:2">
      <c r="A12" t="s">
        <v>1560</v>
      </c>
      <c r="B12" t="str">
        <f t="shared" si="0"/>
        <v>Alexandriaparrish</v>
      </c>
    </row>
    <row r="13" spans="1:2">
      <c r="A13" t="s">
        <v>1561</v>
      </c>
      <c r="B13" t="str">
        <f t="shared" si="0"/>
        <v>Jacobhaynes</v>
      </c>
    </row>
    <row r="14" spans="1:2">
      <c r="A14" t="s">
        <v>1562</v>
      </c>
      <c r="B14" t="str">
        <f t="shared" si="0"/>
        <v>Xjoseph</v>
      </c>
    </row>
    <row r="15" spans="1:2">
      <c r="A15" t="s">
        <v>1563</v>
      </c>
      <c r="B15" t="str">
        <f t="shared" si="0"/>
        <v>Yjohnson</v>
      </c>
    </row>
    <row r="16" spans="1:2">
      <c r="A16" t="s">
        <v>1564</v>
      </c>
      <c r="B16" t="str">
        <f t="shared" si="0"/>
        <v>Lesliemiller</v>
      </c>
    </row>
    <row r="17" spans="1:2">
      <c r="A17" t="s">
        <v>1565</v>
      </c>
      <c r="B17" t="str">
        <f t="shared" si="0"/>
        <v>Raynatalie</v>
      </c>
    </row>
    <row r="18" spans="1:2">
      <c r="A18" t="s">
        <v>1566</v>
      </c>
      <c r="B18" t="str">
        <f t="shared" si="0"/>
        <v>Xtaylor</v>
      </c>
    </row>
    <row r="19" spans="1:2">
      <c r="A19" t="s">
        <v>1567</v>
      </c>
      <c r="B19" t="str">
        <f t="shared" si="0"/>
        <v>Aguilarjennifer</v>
      </c>
    </row>
    <row r="20" spans="1:2">
      <c r="A20" t="s">
        <v>1568</v>
      </c>
      <c r="B20" t="str">
        <f t="shared" si="0"/>
        <v>Lmeza</v>
      </c>
    </row>
    <row r="21" spans="1:2">
      <c r="A21" t="s">
        <v>1569</v>
      </c>
      <c r="B21" t="str">
        <f t="shared" si="0"/>
        <v>Michael06</v>
      </c>
    </row>
    <row r="22" spans="1:2">
      <c r="A22" t="s">
        <v>1570</v>
      </c>
      <c r="B22" t="str">
        <f t="shared" si="0"/>
        <v>Lawsonderrick</v>
      </c>
    </row>
    <row r="23" spans="1:2">
      <c r="A23" t="s">
        <v>1571</v>
      </c>
      <c r="B23" t="str">
        <f t="shared" si="0"/>
        <v>Icrawford</v>
      </c>
    </row>
    <row r="24" spans="1:2">
      <c r="A24" t="s">
        <v>1572</v>
      </c>
      <c r="B24" t="str">
        <f t="shared" si="0"/>
        <v>David54</v>
      </c>
    </row>
    <row r="25" spans="1:2">
      <c r="A25" t="s">
        <v>1573</v>
      </c>
      <c r="B25" t="str">
        <f t="shared" si="0"/>
        <v>Rcraig</v>
      </c>
    </row>
    <row r="26" spans="1:2">
      <c r="A26" t="s">
        <v>1574</v>
      </c>
      <c r="B26" t="str">
        <f t="shared" si="0"/>
        <v>Kvasquez</v>
      </c>
    </row>
    <row r="27" spans="1:2">
      <c r="A27" t="s">
        <v>1575</v>
      </c>
      <c r="B27" t="str">
        <f t="shared" si="0"/>
        <v>Erica07</v>
      </c>
    </row>
    <row r="28" spans="1:2">
      <c r="A28" t="s">
        <v>1576</v>
      </c>
      <c r="B28" t="str">
        <f t="shared" si="0"/>
        <v>Owensoscar</v>
      </c>
    </row>
    <row r="29" spans="1:2">
      <c r="A29" t="s">
        <v>1577</v>
      </c>
      <c r="B29" t="str">
        <f t="shared" si="0"/>
        <v>Wlawson</v>
      </c>
    </row>
    <row r="30" spans="1:2">
      <c r="A30" t="s">
        <v>1578</v>
      </c>
      <c r="B30" t="str">
        <f t="shared" si="0"/>
        <v>Kevinruiz</v>
      </c>
    </row>
    <row r="31" spans="1:2">
      <c r="A31" t="s">
        <v>1579</v>
      </c>
      <c r="B31" t="str">
        <f t="shared" si="0"/>
        <v>Dlee</v>
      </c>
    </row>
    <row r="32" spans="1:2">
      <c r="A32" t="s">
        <v>1580</v>
      </c>
      <c r="B32" t="str">
        <f t="shared" si="0"/>
        <v>Rebekah64</v>
      </c>
    </row>
    <row r="33" spans="1:2">
      <c r="A33" t="s">
        <v>1581</v>
      </c>
      <c r="B33" t="str">
        <f t="shared" si="0"/>
        <v>Katherinejohnston</v>
      </c>
    </row>
    <row r="34" spans="1:2">
      <c r="A34" t="s">
        <v>1582</v>
      </c>
      <c r="B34" t="str">
        <f t="shared" si="0"/>
        <v>Odavis</v>
      </c>
    </row>
    <row r="35" spans="1:2">
      <c r="A35" t="s">
        <v>1583</v>
      </c>
      <c r="B35" t="str">
        <f t="shared" si="0"/>
        <v>Tylermiller</v>
      </c>
    </row>
    <row r="36" spans="1:2">
      <c r="A36" t="s">
        <v>1584</v>
      </c>
      <c r="B36" t="str">
        <f t="shared" si="0"/>
        <v>Sonya77</v>
      </c>
    </row>
    <row r="37" spans="1:2">
      <c r="A37" t="s">
        <v>1585</v>
      </c>
      <c r="B37" t="str">
        <f t="shared" si="0"/>
        <v>Sandyherman</v>
      </c>
    </row>
    <row r="38" spans="1:2">
      <c r="A38" t="s">
        <v>1586</v>
      </c>
      <c r="B38" t="str">
        <f t="shared" si="0"/>
        <v>Leahlee</v>
      </c>
    </row>
    <row r="39" spans="1:2">
      <c r="A39" t="s">
        <v>1587</v>
      </c>
      <c r="B39" t="str">
        <f t="shared" si="0"/>
        <v>Richardhooper</v>
      </c>
    </row>
    <row r="40" spans="1:2">
      <c r="A40" t="s">
        <v>1588</v>
      </c>
      <c r="B40" t="str">
        <f t="shared" si="0"/>
        <v>Jenniferwilcox</v>
      </c>
    </row>
    <row r="41" spans="1:2">
      <c r="A41" t="s">
        <v>1589</v>
      </c>
      <c r="B41" t="str">
        <f t="shared" si="0"/>
        <v>Bruce09</v>
      </c>
    </row>
    <row r="42" spans="1:2">
      <c r="A42" t="s">
        <v>1590</v>
      </c>
      <c r="B42" t="str">
        <f t="shared" si="0"/>
        <v>Tpark</v>
      </c>
    </row>
    <row r="43" spans="1:2">
      <c r="A43" t="s">
        <v>1591</v>
      </c>
      <c r="B43" t="str">
        <f t="shared" si="0"/>
        <v>Csanchez</v>
      </c>
    </row>
    <row r="44" spans="1:2">
      <c r="A44" t="s">
        <v>1592</v>
      </c>
      <c r="B44" t="str">
        <f t="shared" si="0"/>
        <v>Nnguyen</v>
      </c>
    </row>
    <row r="45" spans="1:2">
      <c r="A45" t="s">
        <v>1593</v>
      </c>
      <c r="B45" t="str">
        <f t="shared" si="0"/>
        <v>Vmooney</v>
      </c>
    </row>
    <row r="46" spans="1:2">
      <c r="A46" t="s">
        <v>1594</v>
      </c>
      <c r="B46" t="str">
        <f t="shared" si="0"/>
        <v>Jennifer87</v>
      </c>
    </row>
    <row r="47" spans="1:2">
      <c r="A47" t="s">
        <v>1595</v>
      </c>
      <c r="B47" t="str">
        <f t="shared" si="0"/>
        <v>Jcarter</v>
      </c>
    </row>
    <row r="48" spans="1:2">
      <c r="A48" t="s">
        <v>1596</v>
      </c>
      <c r="B48" t="str">
        <f t="shared" si="0"/>
        <v>Jlane</v>
      </c>
    </row>
    <row r="49" spans="1:2">
      <c r="A49" t="s">
        <v>1597</v>
      </c>
      <c r="B49" t="str">
        <f t="shared" si="0"/>
        <v>Nathan33</v>
      </c>
    </row>
    <row r="50" spans="1:2">
      <c r="A50" t="s">
        <v>1598</v>
      </c>
      <c r="B50" t="str">
        <f t="shared" si="0"/>
        <v>Owensjoseph</v>
      </c>
    </row>
    <row r="51" spans="1:2">
      <c r="A51" t="s">
        <v>1599</v>
      </c>
      <c r="B51" t="str">
        <f t="shared" si="0"/>
        <v>Griffinsarah</v>
      </c>
    </row>
    <row r="52" spans="1:2">
      <c r="A52" t="s">
        <v>1600</v>
      </c>
      <c r="B52" t="str">
        <f t="shared" si="0"/>
        <v>Petersonlacey</v>
      </c>
    </row>
    <row r="53" spans="1:2">
      <c r="A53" t="s">
        <v>1601</v>
      </c>
      <c r="B53" t="str">
        <f t="shared" si="0"/>
        <v>Cynthiapoole</v>
      </c>
    </row>
    <row r="54" spans="1:2">
      <c r="A54" t="s">
        <v>1602</v>
      </c>
      <c r="B54" t="str">
        <f t="shared" si="0"/>
        <v>Richardsjessica</v>
      </c>
    </row>
    <row r="55" spans="1:2">
      <c r="A55" t="s">
        <v>1603</v>
      </c>
      <c r="B55" t="str">
        <f t="shared" si="0"/>
        <v>Fforbes</v>
      </c>
    </row>
    <row r="56" spans="1:2">
      <c r="A56" t="s">
        <v>1604</v>
      </c>
      <c r="B56" t="str">
        <f t="shared" si="0"/>
        <v>Odonnelljennifer</v>
      </c>
    </row>
    <row r="57" spans="1:2">
      <c r="A57" t="s">
        <v>1605</v>
      </c>
      <c r="B57" t="str">
        <f t="shared" si="0"/>
        <v>Amylong</v>
      </c>
    </row>
    <row r="58" spans="1:2">
      <c r="A58" t="s">
        <v>1606</v>
      </c>
      <c r="B58" t="str">
        <f t="shared" si="0"/>
        <v>Usnyder</v>
      </c>
    </row>
    <row r="59" spans="1:2">
      <c r="A59" t="s">
        <v>1607</v>
      </c>
      <c r="B59" t="str">
        <f t="shared" si="0"/>
        <v>Dianaburgess</v>
      </c>
    </row>
    <row r="60" spans="1:2">
      <c r="A60" t="s">
        <v>1608</v>
      </c>
      <c r="B60" t="str">
        <f t="shared" si="0"/>
        <v>Joseph32</v>
      </c>
    </row>
    <row r="61" spans="1:2">
      <c r="A61" t="s">
        <v>1609</v>
      </c>
      <c r="B61" t="str">
        <f t="shared" si="0"/>
        <v>Fstewart</v>
      </c>
    </row>
    <row r="62" spans="1:2">
      <c r="A62" t="s">
        <v>1610</v>
      </c>
      <c r="B62" t="str">
        <f t="shared" si="0"/>
        <v>Sholmes</v>
      </c>
    </row>
    <row r="63" spans="1:2">
      <c r="A63" t="s">
        <v>1611</v>
      </c>
      <c r="B63" t="str">
        <f t="shared" si="0"/>
        <v>Charlesjohnson</v>
      </c>
    </row>
    <row r="64" spans="1:2">
      <c r="A64" t="s">
        <v>1612</v>
      </c>
      <c r="B64" t="str">
        <f t="shared" si="0"/>
        <v>Davischristopher</v>
      </c>
    </row>
    <row r="65" spans="1:2">
      <c r="A65" t="s">
        <v>1613</v>
      </c>
      <c r="B65" t="str">
        <f t="shared" si="0"/>
        <v>Jenniferarnold</v>
      </c>
    </row>
    <row r="66" spans="1:2">
      <c r="A66" t="s">
        <v>1614</v>
      </c>
      <c r="B66" t="str">
        <f t="shared" si="0"/>
        <v>Palmerashley</v>
      </c>
    </row>
    <row r="67" spans="1:2">
      <c r="A67" t="s">
        <v>1615</v>
      </c>
      <c r="B67" t="str">
        <f t="shared" ref="B67:B130" si="1">PROPER(TRIM(A67))</f>
        <v>Mbowen</v>
      </c>
    </row>
    <row r="68" spans="1:2">
      <c r="A68" t="s">
        <v>1616</v>
      </c>
      <c r="B68" t="str">
        <f t="shared" si="1"/>
        <v>Harrisonsteven</v>
      </c>
    </row>
    <row r="69" spans="1:2">
      <c r="A69" t="s">
        <v>1617</v>
      </c>
      <c r="B69" t="str">
        <f t="shared" si="1"/>
        <v>Tinapreston</v>
      </c>
    </row>
    <row r="70" spans="1:2">
      <c r="A70" t="s">
        <v>1618</v>
      </c>
      <c r="B70" t="str">
        <f t="shared" si="1"/>
        <v>Claudiasilva</v>
      </c>
    </row>
    <row r="71" spans="1:2">
      <c r="A71" t="s">
        <v>1619</v>
      </c>
      <c r="B71" t="str">
        <f t="shared" si="1"/>
        <v>Noah21</v>
      </c>
    </row>
    <row r="72" spans="1:2">
      <c r="A72" t="s">
        <v>1620</v>
      </c>
      <c r="B72" t="str">
        <f t="shared" si="1"/>
        <v>Nwatkins</v>
      </c>
    </row>
    <row r="73" spans="1:2">
      <c r="A73" t="s">
        <v>1621</v>
      </c>
      <c r="B73" t="str">
        <f t="shared" si="1"/>
        <v>Martinderrick</v>
      </c>
    </row>
    <row r="74" spans="1:2">
      <c r="A74" t="s">
        <v>1622</v>
      </c>
      <c r="B74" t="str">
        <f t="shared" si="1"/>
        <v>Craiggail</v>
      </c>
    </row>
    <row r="75" spans="1:2">
      <c r="A75" t="s">
        <v>1623</v>
      </c>
      <c r="B75" t="str">
        <f t="shared" si="1"/>
        <v>Connerkevin</v>
      </c>
    </row>
    <row r="76" spans="1:2">
      <c r="A76" t="s">
        <v>1624</v>
      </c>
      <c r="B76" t="str">
        <f t="shared" si="1"/>
        <v>Fmayer</v>
      </c>
    </row>
    <row r="77" spans="1:2">
      <c r="A77" t="s">
        <v>1625</v>
      </c>
      <c r="B77" t="str">
        <f t="shared" si="1"/>
        <v>Bryantdawn</v>
      </c>
    </row>
    <row r="78" spans="1:2">
      <c r="A78" t="s">
        <v>1626</v>
      </c>
      <c r="B78" t="str">
        <f t="shared" si="1"/>
        <v>Lindsay74</v>
      </c>
    </row>
    <row r="79" spans="1:2">
      <c r="A79" t="s">
        <v>1627</v>
      </c>
      <c r="B79" t="str">
        <f t="shared" si="1"/>
        <v>Ehill</v>
      </c>
    </row>
    <row r="80" spans="1:2">
      <c r="A80" t="s">
        <v>1628</v>
      </c>
      <c r="B80" t="str">
        <f t="shared" si="1"/>
        <v>Hannah41</v>
      </c>
    </row>
    <row r="81" spans="1:2">
      <c r="A81" t="s">
        <v>1629</v>
      </c>
      <c r="B81" t="str">
        <f t="shared" si="1"/>
        <v>Bentonashley</v>
      </c>
    </row>
    <row r="82" spans="1:2">
      <c r="A82" t="s">
        <v>1630</v>
      </c>
      <c r="B82" t="str">
        <f t="shared" si="1"/>
        <v>Kellyhill</v>
      </c>
    </row>
    <row r="83" spans="1:2">
      <c r="A83" t="s">
        <v>1631</v>
      </c>
      <c r="B83" t="str">
        <f t="shared" si="1"/>
        <v>Tlloyd</v>
      </c>
    </row>
    <row r="84" spans="1:2">
      <c r="A84" t="s">
        <v>1632</v>
      </c>
      <c r="B84" t="str">
        <f t="shared" si="1"/>
        <v>Robinatkinson</v>
      </c>
    </row>
    <row r="85" spans="1:2">
      <c r="A85" t="s">
        <v>1633</v>
      </c>
      <c r="B85" t="str">
        <f t="shared" si="1"/>
        <v>Karen96</v>
      </c>
    </row>
    <row r="86" spans="1:2">
      <c r="A86" t="s">
        <v>1634</v>
      </c>
      <c r="B86" t="str">
        <f t="shared" si="1"/>
        <v>Mark79</v>
      </c>
    </row>
    <row r="87" spans="1:2">
      <c r="A87" t="s">
        <v>1635</v>
      </c>
      <c r="B87" t="str">
        <f t="shared" si="1"/>
        <v>Wayne88</v>
      </c>
    </row>
    <row r="88" spans="1:2">
      <c r="A88" t="s">
        <v>1636</v>
      </c>
      <c r="B88" t="str">
        <f t="shared" si="1"/>
        <v>Jack75</v>
      </c>
    </row>
    <row r="89" spans="1:2">
      <c r="A89" t="s">
        <v>1637</v>
      </c>
      <c r="B89" t="str">
        <f t="shared" si="1"/>
        <v>Shenderson</v>
      </c>
    </row>
    <row r="90" spans="1:2">
      <c r="A90" t="s">
        <v>1638</v>
      </c>
      <c r="B90" t="str">
        <f t="shared" si="1"/>
        <v>Manderson</v>
      </c>
    </row>
    <row r="91" spans="1:2">
      <c r="A91" t="s">
        <v>1639</v>
      </c>
      <c r="B91" t="str">
        <f t="shared" si="1"/>
        <v>Boylejeffrey</v>
      </c>
    </row>
    <row r="92" spans="1:2">
      <c r="A92" t="s">
        <v>1640</v>
      </c>
      <c r="B92" t="str">
        <f t="shared" si="1"/>
        <v>Justinvargas</v>
      </c>
    </row>
    <row r="93" spans="1:2">
      <c r="A93" t="s">
        <v>1641</v>
      </c>
      <c r="B93" t="str">
        <f t="shared" si="1"/>
        <v>Smullins</v>
      </c>
    </row>
    <row r="94" spans="1:2">
      <c r="A94" t="s">
        <v>1642</v>
      </c>
      <c r="B94" t="str">
        <f t="shared" si="1"/>
        <v>Cynthiasimmons</v>
      </c>
    </row>
    <row r="95" spans="1:2">
      <c r="A95" t="s">
        <v>1643</v>
      </c>
      <c r="B95" t="str">
        <f t="shared" si="1"/>
        <v>Qwatson</v>
      </c>
    </row>
    <row r="96" spans="1:2">
      <c r="A96" t="s">
        <v>1644</v>
      </c>
      <c r="B96" t="str">
        <f t="shared" si="1"/>
        <v>Xreed</v>
      </c>
    </row>
    <row r="97" spans="1:2">
      <c r="A97" t="s">
        <v>1645</v>
      </c>
      <c r="B97" t="str">
        <f t="shared" si="1"/>
        <v>Melanie00</v>
      </c>
    </row>
    <row r="98" spans="1:2">
      <c r="A98" t="s">
        <v>1646</v>
      </c>
      <c r="B98" t="str">
        <f t="shared" si="1"/>
        <v>Richardward</v>
      </c>
    </row>
    <row r="99" spans="1:2">
      <c r="A99" t="s">
        <v>1647</v>
      </c>
      <c r="B99" t="str">
        <f t="shared" si="1"/>
        <v>Riggsbarbara</v>
      </c>
    </row>
    <row r="100" spans="1:2">
      <c r="A100" t="s">
        <v>1648</v>
      </c>
      <c r="B100" t="str">
        <f t="shared" si="1"/>
        <v>Sroach</v>
      </c>
    </row>
    <row r="101" spans="1:2">
      <c r="A101" t="s">
        <v>1649</v>
      </c>
      <c r="B101" t="str">
        <f t="shared" si="1"/>
        <v>Jeffreyluna</v>
      </c>
    </row>
    <row r="102" spans="1:2">
      <c r="A102" t="s">
        <v>1650</v>
      </c>
      <c r="B102" t="str">
        <f t="shared" si="1"/>
        <v>Chavezmelissa</v>
      </c>
    </row>
    <row r="103" spans="1:2">
      <c r="A103" t="s">
        <v>1651</v>
      </c>
      <c r="B103" t="str">
        <f t="shared" si="1"/>
        <v>Qserrano</v>
      </c>
    </row>
    <row r="104" spans="1:2">
      <c r="A104" t="s">
        <v>1652</v>
      </c>
      <c r="B104" t="str">
        <f t="shared" si="1"/>
        <v>Angelabutler</v>
      </c>
    </row>
    <row r="105" spans="1:2">
      <c r="A105" t="s">
        <v>1653</v>
      </c>
      <c r="B105" t="str">
        <f t="shared" si="1"/>
        <v>Ggriffith</v>
      </c>
    </row>
    <row r="106" spans="1:2">
      <c r="A106" t="s">
        <v>1654</v>
      </c>
      <c r="B106" t="str">
        <f t="shared" si="1"/>
        <v>Chrisperkins</v>
      </c>
    </row>
    <row r="107" spans="1:2">
      <c r="A107" t="s">
        <v>1655</v>
      </c>
      <c r="B107" t="str">
        <f t="shared" si="1"/>
        <v>Blakewallace</v>
      </c>
    </row>
    <row r="108" spans="1:2">
      <c r="A108" t="s">
        <v>1656</v>
      </c>
      <c r="B108" t="str">
        <f t="shared" si="1"/>
        <v>Ismith</v>
      </c>
    </row>
    <row r="109" spans="1:2">
      <c r="A109" t="s">
        <v>1657</v>
      </c>
      <c r="B109" t="str">
        <f t="shared" si="1"/>
        <v>Amydunn</v>
      </c>
    </row>
    <row r="110" spans="1:2">
      <c r="A110" t="s">
        <v>1658</v>
      </c>
      <c r="B110" t="str">
        <f t="shared" si="1"/>
        <v>Awise</v>
      </c>
    </row>
    <row r="111" spans="1:2">
      <c r="A111" t="s">
        <v>1659</v>
      </c>
      <c r="B111" t="str">
        <f t="shared" si="1"/>
        <v>Jennifer33</v>
      </c>
    </row>
    <row r="112" spans="1:2">
      <c r="A112" t="s">
        <v>1660</v>
      </c>
      <c r="B112" t="str">
        <f t="shared" si="1"/>
        <v>Heatherpayne</v>
      </c>
    </row>
    <row r="113" spans="1:2">
      <c r="A113" t="s">
        <v>1661</v>
      </c>
      <c r="B113" t="str">
        <f t="shared" si="1"/>
        <v>Keithmaddox</v>
      </c>
    </row>
    <row r="114" spans="1:2">
      <c r="A114" t="s">
        <v>1662</v>
      </c>
      <c r="B114" t="str">
        <f t="shared" si="1"/>
        <v>Fuentesmelanie</v>
      </c>
    </row>
    <row r="115" spans="1:2">
      <c r="A115" t="s">
        <v>1663</v>
      </c>
      <c r="B115" t="str">
        <f t="shared" si="1"/>
        <v>Melissa89</v>
      </c>
    </row>
    <row r="116" spans="1:2">
      <c r="A116" t="s">
        <v>1664</v>
      </c>
      <c r="B116" t="str">
        <f t="shared" si="1"/>
        <v>Jill75</v>
      </c>
    </row>
    <row r="117" spans="1:2">
      <c r="A117" t="s">
        <v>1665</v>
      </c>
      <c r="B117" t="str">
        <f t="shared" si="1"/>
        <v>Vhart</v>
      </c>
    </row>
    <row r="118" spans="1:2">
      <c r="A118" t="s">
        <v>1666</v>
      </c>
      <c r="B118" t="str">
        <f t="shared" si="1"/>
        <v>Marilynharrison</v>
      </c>
    </row>
    <row r="119" spans="1:2">
      <c r="A119" t="s">
        <v>1667</v>
      </c>
      <c r="B119" t="str">
        <f t="shared" si="1"/>
        <v>Davisamy</v>
      </c>
    </row>
    <row r="120" spans="1:2">
      <c r="A120" t="s">
        <v>1668</v>
      </c>
      <c r="B120" t="str">
        <f t="shared" si="1"/>
        <v>Dorseyemily</v>
      </c>
    </row>
    <row r="121" spans="1:2">
      <c r="A121" t="s">
        <v>1669</v>
      </c>
      <c r="B121" t="str">
        <f t="shared" si="1"/>
        <v>Garymeyers</v>
      </c>
    </row>
    <row r="122" spans="1:2">
      <c r="A122" t="s">
        <v>1670</v>
      </c>
      <c r="B122" t="str">
        <f t="shared" si="1"/>
        <v>Elee</v>
      </c>
    </row>
    <row r="123" spans="1:2">
      <c r="A123" t="s">
        <v>1671</v>
      </c>
      <c r="B123" t="str">
        <f t="shared" si="1"/>
        <v>Jennifer29</v>
      </c>
    </row>
    <row r="124" spans="1:2">
      <c r="A124" t="s">
        <v>1672</v>
      </c>
      <c r="B124" t="str">
        <f t="shared" si="1"/>
        <v>Davidkelley</v>
      </c>
    </row>
    <row r="125" spans="1:2">
      <c r="A125" t="s">
        <v>1673</v>
      </c>
      <c r="B125" t="str">
        <f t="shared" si="1"/>
        <v>Haroldsawyer</v>
      </c>
    </row>
    <row r="126" spans="1:2">
      <c r="A126" t="s">
        <v>1674</v>
      </c>
      <c r="B126" t="str">
        <f t="shared" si="1"/>
        <v>Albertkelly</v>
      </c>
    </row>
    <row r="127" spans="1:2">
      <c r="A127" t="s">
        <v>1675</v>
      </c>
      <c r="B127" t="str">
        <f t="shared" si="1"/>
        <v>Chambersnicole</v>
      </c>
    </row>
    <row r="128" spans="1:2">
      <c r="A128" t="s">
        <v>1676</v>
      </c>
      <c r="B128" t="str">
        <f t="shared" si="1"/>
        <v>Jacobsonmichael</v>
      </c>
    </row>
    <row r="129" spans="1:2">
      <c r="A129" t="s">
        <v>1677</v>
      </c>
      <c r="B129" t="str">
        <f t="shared" si="1"/>
        <v>Robert48</v>
      </c>
    </row>
    <row r="130" spans="1:2">
      <c r="A130" t="s">
        <v>1678</v>
      </c>
      <c r="B130" t="str">
        <f t="shared" si="1"/>
        <v>Wyattsanchez</v>
      </c>
    </row>
    <row r="131" spans="1:2">
      <c r="A131" t="s">
        <v>1679</v>
      </c>
      <c r="B131" t="str">
        <f t="shared" ref="B131:B194" si="2">PROPER(TRIM(A131))</f>
        <v>Vedwards</v>
      </c>
    </row>
    <row r="132" spans="1:2">
      <c r="A132" t="s">
        <v>1680</v>
      </c>
      <c r="B132" t="str">
        <f t="shared" si="2"/>
        <v>Figueroadoris</v>
      </c>
    </row>
    <row r="133" spans="1:2">
      <c r="A133" t="s">
        <v>1681</v>
      </c>
      <c r="B133" t="str">
        <f t="shared" si="2"/>
        <v>Briansteele</v>
      </c>
    </row>
    <row r="134" spans="1:2">
      <c r="A134" t="s">
        <v>1682</v>
      </c>
      <c r="B134" t="str">
        <f t="shared" si="2"/>
        <v>Huangdana</v>
      </c>
    </row>
    <row r="135" spans="1:2">
      <c r="A135" t="s">
        <v>1683</v>
      </c>
      <c r="B135" t="str">
        <f t="shared" si="2"/>
        <v>Robert23</v>
      </c>
    </row>
    <row r="136" spans="1:2">
      <c r="A136" t="s">
        <v>1684</v>
      </c>
      <c r="B136" t="str">
        <f t="shared" si="2"/>
        <v>Thomasmonica</v>
      </c>
    </row>
    <row r="137" spans="1:2">
      <c r="A137" t="s">
        <v>1685</v>
      </c>
      <c r="B137" t="str">
        <f t="shared" si="2"/>
        <v>Griffithbilly</v>
      </c>
    </row>
    <row r="138" spans="1:2">
      <c r="A138" t="s">
        <v>1686</v>
      </c>
      <c r="B138" t="str">
        <f t="shared" si="2"/>
        <v>Alanguerrero</v>
      </c>
    </row>
    <row r="139" spans="1:2">
      <c r="A139" t="s">
        <v>1687</v>
      </c>
      <c r="B139" t="str">
        <f t="shared" si="2"/>
        <v>Timothy18</v>
      </c>
    </row>
    <row r="140" spans="1:2">
      <c r="A140" t="s">
        <v>1688</v>
      </c>
      <c r="B140" t="str">
        <f t="shared" si="2"/>
        <v>Martinrobert</v>
      </c>
    </row>
    <row r="141" spans="1:2">
      <c r="A141" t="s">
        <v>1689</v>
      </c>
      <c r="B141" t="str">
        <f t="shared" si="2"/>
        <v>Deckeramanda</v>
      </c>
    </row>
    <row r="142" spans="1:2">
      <c r="A142" t="s">
        <v>1690</v>
      </c>
      <c r="B142" t="str">
        <f t="shared" si="2"/>
        <v>Allison25</v>
      </c>
    </row>
    <row r="143" spans="1:2">
      <c r="A143" t="s">
        <v>1691</v>
      </c>
      <c r="B143" t="str">
        <f t="shared" si="2"/>
        <v>Reedchad</v>
      </c>
    </row>
    <row r="144" spans="1:2">
      <c r="A144" t="s">
        <v>1692</v>
      </c>
      <c r="B144" t="str">
        <f t="shared" si="2"/>
        <v>Kennedyjacob</v>
      </c>
    </row>
    <row r="145" spans="1:2">
      <c r="A145" t="s">
        <v>1693</v>
      </c>
      <c r="B145" t="str">
        <f t="shared" si="2"/>
        <v>Robertohobbs</v>
      </c>
    </row>
    <row r="146" spans="1:2">
      <c r="A146" t="s">
        <v>1694</v>
      </c>
      <c r="B146" t="str">
        <f t="shared" si="2"/>
        <v>Michellemurphy</v>
      </c>
    </row>
    <row r="147" spans="1:2">
      <c r="A147" t="s">
        <v>1695</v>
      </c>
      <c r="B147" t="str">
        <f t="shared" si="2"/>
        <v>Castillowilliam</v>
      </c>
    </row>
    <row r="148" spans="1:2">
      <c r="A148" t="s">
        <v>1696</v>
      </c>
      <c r="B148" t="str">
        <f t="shared" si="2"/>
        <v>Manuel15</v>
      </c>
    </row>
    <row r="149" spans="1:2">
      <c r="A149" t="s">
        <v>1697</v>
      </c>
      <c r="B149" t="str">
        <f t="shared" si="2"/>
        <v>Melissa77</v>
      </c>
    </row>
    <row r="150" spans="1:2">
      <c r="A150" t="s">
        <v>1698</v>
      </c>
      <c r="B150" t="str">
        <f t="shared" si="2"/>
        <v>Pkim</v>
      </c>
    </row>
    <row r="151" spans="1:2">
      <c r="A151" t="s">
        <v>1699</v>
      </c>
      <c r="B151" t="str">
        <f t="shared" si="2"/>
        <v>Erinjones</v>
      </c>
    </row>
    <row r="152" spans="1:2">
      <c r="A152" t="s">
        <v>1700</v>
      </c>
      <c r="B152" t="str">
        <f t="shared" si="2"/>
        <v>Harrispamela</v>
      </c>
    </row>
    <row r="153" spans="1:2">
      <c r="A153" t="s">
        <v>1701</v>
      </c>
      <c r="B153" t="str">
        <f t="shared" si="2"/>
        <v>Onoble</v>
      </c>
    </row>
    <row r="154" spans="1:2">
      <c r="A154" t="s">
        <v>1702</v>
      </c>
      <c r="B154" t="str">
        <f t="shared" si="2"/>
        <v>Jamie88</v>
      </c>
    </row>
    <row r="155" spans="1:2">
      <c r="A155" t="s">
        <v>1703</v>
      </c>
      <c r="B155" t="str">
        <f t="shared" si="2"/>
        <v>Davidsingleton</v>
      </c>
    </row>
    <row r="156" spans="1:2">
      <c r="A156" t="s">
        <v>1704</v>
      </c>
      <c r="B156" t="str">
        <f t="shared" si="2"/>
        <v>Byrdevelyn</v>
      </c>
    </row>
    <row r="157" spans="1:2">
      <c r="A157" t="s">
        <v>1705</v>
      </c>
      <c r="B157" t="str">
        <f t="shared" si="2"/>
        <v>Ivan06</v>
      </c>
    </row>
    <row r="158" spans="1:2">
      <c r="A158" t="s">
        <v>1706</v>
      </c>
      <c r="B158" t="str">
        <f t="shared" si="2"/>
        <v>Gabriellogan</v>
      </c>
    </row>
    <row r="159" spans="1:2">
      <c r="A159" t="s">
        <v>1707</v>
      </c>
      <c r="B159" t="str">
        <f t="shared" si="2"/>
        <v>Gsmith</v>
      </c>
    </row>
    <row r="160" spans="1:2">
      <c r="A160" t="s">
        <v>1708</v>
      </c>
      <c r="B160" t="str">
        <f t="shared" si="2"/>
        <v>Morrismelissa</v>
      </c>
    </row>
    <row r="161" spans="1:2">
      <c r="A161" t="s">
        <v>1709</v>
      </c>
      <c r="B161" t="str">
        <f t="shared" si="2"/>
        <v>Courtneycarr</v>
      </c>
    </row>
    <row r="162" spans="1:2">
      <c r="A162" t="s">
        <v>1710</v>
      </c>
      <c r="B162" t="str">
        <f t="shared" si="2"/>
        <v>Thomasowens</v>
      </c>
    </row>
    <row r="163" spans="1:2">
      <c r="A163" t="s">
        <v>1711</v>
      </c>
      <c r="B163" t="str">
        <f t="shared" si="2"/>
        <v>Robertsoncynthia</v>
      </c>
    </row>
    <row r="164" spans="1:2">
      <c r="A164" t="s">
        <v>1712</v>
      </c>
      <c r="B164" t="str">
        <f t="shared" si="2"/>
        <v>Uhudson</v>
      </c>
    </row>
    <row r="165" spans="1:2">
      <c r="A165" t="s">
        <v>1713</v>
      </c>
      <c r="B165" t="str">
        <f t="shared" si="2"/>
        <v>Victoriastone</v>
      </c>
    </row>
    <row r="166" spans="1:2">
      <c r="A166" t="s">
        <v>1714</v>
      </c>
      <c r="B166" t="str">
        <f t="shared" si="2"/>
        <v>Adam91</v>
      </c>
    </row>
    <row r="167" spans="1:2">
      <c r="A167" t="s">
        <v>1715</v>
      </c>
      <c r="B167" t="str">
        <f t="shared" si="2"/>
        <v>Robertroberts</v>
      </c>
    </row>
    <row r="168" spans="1:2">
      <c r="A168" t="s">
        <v>1716</v>
      </c>
      <c r="B168" t="str">
        <f t="shared" si="2"/>
        <v>Walkerdeborah</v>
      </c>
    </row>
    <row r="169" spans="1:2">
      <c r="A169" t="s">
        <v>1717</v>
      </c>
      <c r="B169" t="str">
        <f t="shared" si="2"/>
        <v>Whitemary</v>
      </c>
    </row>
    <row r="170" spans="1:2">
      <c r="A170" t="s">
        <v>1718</v>
      </c>
      <c r="B170" t="str">
        <f t="shared" si="2"/>
        <v>Fray</v>
      </c>
    </row>
    <row r="171" spans="1:2">
      <c r="A171" t="s">
        <v>1719</v>
      </c>
      <c r="B171" t="str">
        <f t="shared" si="2"/>
        <v>Weaverdaniel</v>
      </c>
    </row>
    <row r="172" spans="1:2">
      <c r="A172" t="s">
        <v>1720</v>
      </c>
      <c r="B172" t="str">
        <f t="shared" si="2"/>
        <v>Joe22</v>
      </c>
    </row>
    <row r="173" spans="1:2">
      <c r="A173" t="s">
        <v>1721</v>
      </c>
      <c r="B173" t="str">
        <f t="shared" si="2"/>
        <v>Vaughnlori</v>
      </c>
    </row>
    <row r="174" spans="1:2">
      <c r="A174" t="s">
        <v>1722</v>
      </c>
      <c r="B174" t="str">
        <f t="shared" si="2"/>
        <v>Ambersmith</v>
      </c>
    </row>
    <row r="175" spans="1:2">
      <c r="A175" t="s">
        <v>1723</v>
      </c>
      <c r="B175" t="str">
        <f t="shared" si="2"/>
        <v>Okoch</v>
      </c>
    </row>
    <row r="176" spans="1:2">
      <c r="A176" t="s">
        <v>1724</v>
      </c>
      <c r="B176" t="str">
        <f t="shared" si="2"/>
        <v>Shannonevans</v>
      </c>
    </row>
    <row r="177" spans="1:2">
      <c r="A177" t="s">
        <v>1725</v>
      </c>
      <c r="B177" t="str">
        <f t="shared" si="2"/>
        <v>Gina94</v>
      </c>
    </row>
    <row r="178" spans="1:2">
      <c r="A178" t="s">
        <v>1726</v>
      </c>
      <c r="B178" t="str">
        <f t="shared" si="2"/>
        <v>Iyoung</v>
      </c>
    </row>
    <row r="179" spans="1:2">
      <c r="A179" t="s">
        <v>1727</v>
      </c>
      <c r="B179" t="str">
        <f t="shared" si="2"/>
        <v>Matthewcasey</v>
      </c>
    </row>
    <row r="180" spans="1:2">
      <c r="A180" t="s">
        <v>1728</v>
      </c>
      <c r="B180" t="str">
        <f t="shared" si="2"/>
        <v>Smayo</v>
      </c>
    </row>
    <row r="181" spans="1:2">
      <c r="A181" t="s">
        <v>1729</v>
      </c>
      <c r="B181" t="str">
        <f t="shared" si="2"/>
        <v>Douglas13</v>
      </c>
    </row>
    <row r="182" spans="1:2">
      <c r="A182" t="s">
        <v>1730</v>
      </c>
      <c r="B182" t="str">
        <f t="shared" si="2"/>
        <v>Bakerjohn</v>
      </c>
    </row>
    <row r="183" spans="1:2">
      <c r="A183" t="s">
        <v>1731</v>
      </c>
      <c r="B183" t="str">
        <f t="shared" si="2"/>
        <v>Brianlopez</v>
      </c>
    </row>
    <row r="184" spans="1:2">
      <c r="A184" t="s">
        <v>1732</v>
      </c>
      <c r="B184" t="str">
        <f t="shared" si="2"/>
        <v>Troberts</v>
      </c>
    </row>
    <row r="185" spans="1:2">
      <c r="A185" t="s">
        <v>1733</v>
      </c>
      <c r="B185" t="str">
        <f t="shared" si="2"/>
        <v>Robertmassey</v>
      </c>
    </row>
    <row r="186" spans="1:2">
      <c r="A186" t="s">
        <v>1734</v>
      </c>
      <c r="B186" t="str">
        <f t="shared" si="2"/>
        <v>Ynovak</v>
      </c>
    </row>
    <row r="187" spans="1:2">
      <c r="A187" t="s">
        <v>1735</v>
      </c>
      <c r="B187" t="str">
        <f t="shared" si="2"/>
        <v>Colinmartinez</v>
      </c>
    </row>
    <row r="188" spans="1:2">
      <c r="A188" t="s">
        <v>1736</v>
      </c>
      <c r="B188" t="str">
        <f t="shared" si="2"/>
        <v>Schultzkatherine</v>
      </c>
    </row>
    <row r="189" spans="1:2">
      <c r="A189" t="s">
        <v>1737</v>
      </c>
      <c r="B189" t="str">
        <f t="shared" si="2"/>
        <v>Romerostephanie</v>
      </c>
    </row>
    <row r="190" spans="1:2">
      <c r="A190" t="s">
        <v>1738</v>
      </c>
      <c r="B190" t="str">
        <f t="shared" si="2"/>
        <v>Otaylor</v>
      </c>
    </row>
    <row r="191" spans="1:2">
      <c r="A191" t="s">
        <v>1739</v>
      </c>
      <c r="B191" t="str">
        <f t="shared" si="2"/>
        <v>Snguyen</v>
      </c>
    </row>
    <row r="192" spans="1:2">
      <c r="A192" t="s">
        <v>1740</v>
      </c>
      <c r="B192" t="str">
        <f t="shared" si="2"/>
        <v>Christine87</v>
      </c>
    </row>
    <row r="193" spans="1:2">
      <c r="A193" t="s">
        <v>1741</v>
      </c>
      <c r="B193" t="str">
        <f t="shared" si="2"/>
        <v>Kerry23</v>
      </c>
    </row>
    <row r="194" spans="1:2">
      <c r="A194" t="s">
        <v>1742</v>
      </c>
      <c r="B194" t="str">
        <f t="shared" si="2"/>
        <v>Natashamartin</v>
      </c>
    </row>
    <row r="195" spans="1:2">
      <c r="A195" t="s">
        <v>1743</v>
      </c>
      <c r="B195" t="str">
        <f t="shared" ref="B195:B258" si="3">PROPER(TRIM(A195))</f>
        <v>Rileyjason</v>
      </c>
    </row>
    <row r="196" spans="1:2">
      <c r="A196" t="s">
        <v>1744</v>
      </c>
      <c r="B196" t="str">
        <f t="shared" si="3"/>
        <v>Garciadanielle</v>
      </c>
    </row>
    <row r="197" spans="1:2">
      <c r="A197" t="s">
        <v>1745</v>
      </c>
      <c r="B197" t="str">
        <f t="shared" si="3"/>
        <v>Walterkayla</v>
      </c>
    </row>
    <row r="198" spans="1:2">
      <c r="A198" t="s">
        <v>1746</v>
      </c>
      <c r="B198" t="str">
        <f t="shared" si="3"/>
        <v>Henryrosales</v>
      </c>
    </row>
    <row r="199" spans="1:2">
      <c r="A199" t="s">
        <v>1747</v>
      </c>
      <c r="B199" t="str">
        <f t="shared" si="3"/>
        <v>Nrichmond</v>
      </c>
    </row>
    <row r="200" spans="1:2">
      <c r="A200" t="s">
        <v>1748</v>
      </c>
      <c r="B200" t="str">
        <f t="shared" si="3"/>
        <v>Andrewbrown</v>
      </c>
    </row>
    <row r="201" spans="1:2">
      <c r="A201" t="s">
        <v>1749</v>
      </c>
      <c r="B201" t="str">
        <f t="shared" si="3"/>
        <v>Qmills</v>
      </c>
    </row>
    <row r="202" spans="1:2">
      <c r="A202" t="s">
        <v>1750</v>
      </c>
      <c r="B202" t="str">
        <f t="shared" si="3"/>
        <v>Qcarrillo</v>
      </c>
    </row>
    <row r="203" spans="1:2">
      <c r="A203" t="s">
        <v>1751</v>
      </c>
      <c r="B203" t="str">
        <f t="shared" si="3"/>
        <v>Mcdanielautumn</v>
      </c>
    </row>
    <row r="204" spans="1:2">
      <c r="A204" t="s">
        <v>1752</v>
      </c>
      <c r="B204" t="str">
        <f t="shared" si="3"/>
        <v>Jperkins</v>
      </c>
    </row>
    <row r="205" spans="1:2">
      <c r="A205" t="s">
        <v>1753</v>
      </c>
      <c r="B205" t="str">
        <f t="shared" si="3"/>
        <v>Hernandezmichael</v>
      </c>
    </row>
    <row r="206" spans="1:2">
      <c r="A206" t="s">
        <v>1754</v>
      </c>
      <c r="B206" t="str">
        <f t="shared" si="3"/>
        <v>Xpadilla</v>
      </c>
    </row>
    <row r="207" spans="1:2">
      <c r="A207" t="s">
        <v>1755</v>
      </c>
      <c r="B207" t="str">
        <f t="shared" si="3"/>
        <v>Wjohnson</v>
      </c>
    </row>
    <row r="208" spans="1:2">
      <c r="A208" t="s">
        <v>1756</v>
      </c>
      <c r="B208" t="str">
        <f t="shared" si="3"/>
        <v>Darren53</v>
      </c>
    </row>
    <row r="209" spans="1:2">
      <c r="A209" t="s">
        <v>1757</v>
      </c>
      <c r="B209" t="str">
        <f t="shared" si="3"/>
        <v>Nathanielchavez</v>
      </c>
    </row>
    <row r="210" spans="1:2">
      <c r="A210" t="s">
        <v>1758</v>
      </c>
      <c r="B210" t="str">
        <f t="shared" si="3"/>
        <v>Selliott</v>
      </c>
    </row>
    <row r="211" spans="1:2">
      <c r="A211" t="s">
        <v>1759</v>
      </c>
      <c r="B211" t="str">
        <f t="shared" si="3"/>
        <v>Elowe</v>
      </c>
    </row>
    <row r="212" spans="1:2">
      <c r="A212" t="s">
        <v>1760</v>
      </c>
      <c r="B212" t="str">
        <f t="shared" si="3"/>
        <v>Edwardsjohn</v>
      </c>
    </row>
    <row r="213" spans="1:2">
      <c r="A213" t="s">
        <v>1761</v>
      </c>
      <c r="B213" t="str">
        <f t="shared" si="3"/>
        <v>Sheilawatkins</v>
      </c>
    </row>
    <row r="214" spans="1:2">
      <c r="A214" t="s">
        <v>1762</v>
      </c>
      <c r="B214" t="str">
        <f t="shared" si="3"/>
        <v>Nicholas77</v>
      </c>
    </row>
    <row r="215" spans="1:2">
      <c r="A215" t="s">
        <v>1763</v>
      </c>
      <c r="B215" t="str">
        <f t="shared" si="3"/>
        <v>Alexandermoore</v>
      </c>
    </row>
    <row r="216" spans="1:2">
      <c r="A216" t="s">
        <v>1764</v>
      </c>
      <c r="B216" t="str">
        <f t="shared" si="3"/>
        <v>William77</v>
      </c>
    </row>
    <row r="217" spans="1:2">
      <c r="A217" t="s">
        <v>1765</v>
      </c>
      <c r="B217" t="str">
        <f t="shared" si="3"/>
        <v>Michelle54</v>
      </c>
    </row>
    <row r="218" spans="1:2">
      <c r="A218" t="s">
        <v>1766</v>
      </c>
      <c r="B218" t="str">
        <f t="shared" si="3"/>
        <v>Quinncaroline</v>
      </c>
    </row>
    <row r="219" spans="1:2">
      <c r="A219" t="s">
        <v>1767</v>
      </c>
      <c r="B219" t="str">
        <f t="shared" si="3"/>
        <v>Hlucas</v>
      </c>
    </row>
    <row r="220" spans="1:2">
      <c r="A220" t="s">
        <v>1768</v>
      </c>
      <c r="B220" t="str">
        <f t="shared" si="3"/>
        <v>Davisdevin</v>
      </c>
    </row>
    <row r="221" spans="1:2">
      <c r="A221" t="s">
        <v>1769</v>
      </c>
      <c r="B221" t="str">
        <f t="shared" si="3"/>
        <v>Tonyachristensen</v>
      </c>
    </row>
    <row r="222" spans="1:2">
      <c r="A222" t="s">
        <v>1770</v>
      </c>
      <c r="B222" t="str">
        <f t="shared" si="3"/>
        <v>Shawna86</v>
      </c>
    </row>
    <row r="223" spans="1:2">
      <c r="A223" t="s">
        <v>1771</v>
      </c>
      <c r="B223" t="str">
        <f t="shared" si="3"/>
        <v>Scott81</v>
      </c>
    </row>
    <row r="224" spans="1:2">
      <c r="A224" t="s">
        <v>1772</v>
      </c>
      <c r="B224" t="str">
        <f t="shared" si="3"/>
        <v>Kellyrichardson</v>
      </c>
    </row>
    <row r="225" spans="1:2">
      <c r="A225" t="s">
        <v>1773</v>
      </c>
      <c r="B225" t="str">
        <f t="shared" si="3"/>
        <v>Jeansmall</v>
      </c>
    </row>
    <row r="226" spans="1:2">
      <c r="A226" t="s">
        <v>1774</v>
      </c>
      <c r="B226" t="str">
        <f t="shared" si="3"/>
        <v>Richard18</v>
      </c>
    </row>
    <row r="227" spans="1:2">
      <c r="A227" t="s">
        <v>1775</v>
      </c>
      <c r="B227" t="str">
        <f t="shared" si="3"/>
        <v>Jayroberts</v>
      </c>
    </row>
    <row r="228" spans="1:2">
      <c r="A228" t="s">
        <v>1776</v>
      </c>
      <c r="B228" t="str">
        <f t="shared" si="3"/>
        <v>Lpowers</v>
      </c>
    </row>
    <row r="229" spans="1:2">
      <c r="A229" t="s">
        <v>1777</v>
      </c>
      <c r="B229" t="str">
        <f t="shared" si="3"/>
        <v>Thomas60</v>
      </c>
    </row>
    <row r="230" spans="1:2">
      <c r="A230" t="s">
        <v>1778</v>
      </c>
      <c r="B230" t="str">
        <f t="shared" si="3"/>
        <v>Zjames</v>
      </c>
    </row>
    <row r="231" spans="1:2">
      <c r="A231" t="s">
        <v>1779</v>
      </c>
      <c r="B231" t="str">
        <f t="shared" si="3"/>
        <v>Zhopkins</v>
      </c>
    </row>
    <row r="232" spans="1:2">
      <c r="A232" t="s">
        <v>1780</v>
      </c>
      <c r="B232" t="str">
        <f t="shared" si="3"/>
        <v>Melissa94</v>
      </c>
    </row>
    <row r="233" spans="1:2">
      <c r="A233" t="s">
        <v>1781</v>
      </c>
      <c r="B233" t="str">
        <f t="shared" si="3"/>
        <v>Pottsdavid</v>
      </c>
    </row>
    <row r="234" spans="1:2">
      <c r="A234" t="s">
        <v>1782</v>
      </c>
      <c r="B234" t="str">
        <f t="shared" si="3"/>
        <v>Zmartin</v>
      </c>
    </row>
    <row r="235" spans="1:2">
      <c r="A235" t="s">
        <v>1783</v>
      </c>
      <c r="B235" t="str">
        <f t="shared" si="3"/>
        <v>Joseph76</v>
      </c>
    </row>
    <row r="236" spans="1:2">
      <c r="A236" t="s">
        <v>1784</v>
      </c>
      <c r="B236" t="str">
        <f t="shared" si="3"/>
        <v>Deannanewman</v>
      </c>
    </row>
    <row r="237" spans="1:2">
      <c r="A237" t="s">
        <v>1785</v>
      </c>
      <c r="B237" t="str">
        <f t="shared" si="3"/>
        <v>Rodriguezkathleen</v>
      </c>
    </row>
    <row r="238" spans="1:2">
      <c r="A238" t="s">
        <v>1786</v>
      </c>
      <c r="B238" t="str">
        <f t="shared" si="3"/>
        <v>Nelsonbrandon</v>
      </c>
    </row>
    <row r="239" spans="1:2">
      <c r="A239" t="s">
        <v>1787</v>
      </c>
      <c r="B239" t="str">
        <f t="shared" si="3"/>
        <v>Wrightjulia</v>
      </c>
    </row>
    <row r="240" spans="1:2">
      <c r="A240" t="s">
        <v>1788</v>
      </c>
      <c r="B240" t="str">
        <f t="shared" si="3"/>
        <v>Zthomas</v>
      </c>
    </row>
    <row r="241" spans="1:2">
      <c r="A241" t="s">
        <v>1789</v>
      </c>
      <c r="B241" t="str">
        <f t="shared" si="3"/>
        <v>Fmay</v>
      </c>
    </row>
    <row r="242" spans="1:2">
      <c r="A242" t="s">
        <v>1790</v>
      </c>
      <c r="B242" t="str">
        <f t="shared" si="3"/>
        <v>Susan69</v>
      </c>
    </row>
    <row r="243" spans="1:2">
      <c r="A243" t="s">
        <v>1791</v>
      </c>
      <c r="B243" t="str">
        <f t="shared" si="3"/>
        <v>Anthony60</v>
      </c>
    </row>
    <row r="244" spans="1:2">
      <c r="A244" t="s">
        <v>1792</v>
      </c>
      <c r="B244" t="str">
        <f t="shared" si="3"/>
        <v>Mercedesyoung</v>
      </c>
    </row>
    <row r="245" spans="1:2">
      <c r="A245" t="s">
        <v>1793</v>
      </c>
      <c r="B245" t="str">
        <f t="shared" si="3"/>
        <v>Tracy64</v>
      </c>
    </row>
    <row r="246" spans="1:2">
      <c r="A246" t="s">
        <v>1794</v>
      </c>
      <c r="B246" t="str">
        <f t="shared" si="3"/>
        <v>Carpenterjohn</v>
      </c>
    </row>
    <row r="247" spans="1:2">
      <c r="A247" t="s">
        <v>1795</v>
      </c>
      <c r="B247" t="str">
        <f t="shared" si="3"/>
        <v>Alexwilson</v>
      </c>
    </row>
    <row r="248" spans="1:2">
      <c r="A248" t="s">
        <v>1796</v>
      </c>
      <c r="B248" t="str">
        <f t="shared" si="3"/>
        <v>Moyerdanny</v>
      </c>
    </row>
    <row r="249" spans="1:2">
      <c r="A249" t="s">
        <v>1797</v>
      </c>
      <c r="B249" t="str">
        <f t="shared" si="3"/>
        <v>Joshuasmith</v>
      </c>
    </row>
    <row r="250" spans="1:2">
      <c r="A250" t="s">
        <v>1798</v>
      </c>
      <c r="B250" t="str">
        <f t="shared" si="3"/>
        <v>Zacharygonzales</v>
      </c>
    </row>
    <row r="251" spans="1:2">
      <c r="A251" t="s">
        <v>1799</v>
      </c>
      <c r="B251" t="str">
        <f t="shared" si="3"/>
        <v>Coxlauren</v>
      </c>
    </row>
    <row r="252" spans="1:2">
      <c r="A252" t="s">
        <v>1800</v>
      </c>
      <c r="B252" t="str">
        <f t="shared" si="3"/>
        <v>Espinozajennifer</v>
      </c>
    </row>
    <row r="253" spans="1:2">
      <c r="A253" t="s">
        <v>1801</v>
      </c>
      <c r="B253" t="str">
        <f t="shared" si="3"/>
        <v>Jackbarnes</v>
      </c>
    </row>
    <row r="254" spans="1:2">
      <c r="A254" t="s">
        <v>1802</v>
      </c>
      <c r="B254" t="str">
        <f t="shared" si="3"/>
        <v>Juanjones</v>
      </c>
    </row>
    <row r="255" spans="1:2">
      <c r="A255" t="s">
        <v>1803</v>
      </c>
      <c r="B255" t="str">
        <f t="shared" si="3"/>
        <v>Georgewarren</v>
      </c>
    </row>
    <row r="256" spans="1:2">
      <c r="A256" t="s">
        <v>1804</v>
      </c>
      <c r="B256" t="str">
        <f t="shared" si="3"/>
        <v>Danieldonaldson</v>
      </c>
    </row>
    <row r="257" spans="1:2">
      <c r="A257" t="s">
        <v>1805</v>
      </c>
      <c r="B257" t="str">
        <f t="shared" si="3"/>
        <v>Wsanders</v>
      </c>
    </row>
    <row r="258" spans="1:2">
      <c r="A258" t="s">
        <v>1806</v>
      </c>
      <c r="B258" t="str">
        <f t="shared" si="3"/>
        <v>Dunnmelissa</v>
      </c>
    </row>
    <row r="259" spans="1:2">
      <c r="A259" t="s">
        <v>1807</v>
      </c>
      <c r="B259" t="str">
        <f t="shared" ref="B259:B322" si="4">PROPER(TRIM(A259))</f>
        <v>Hporter</v>
      </c>
    </row>
    <row r="260" spans="1:2">
      <c r="A260" t="s">
        <v>1808</v>
      </c>
      <c r="B260" t="str">
        <f t="shared" si="4"/>
        <v>Garciaisabel</v>
      </c>
    </row>
    <row r="261" spans="1:2">
      <c r="A261" t="s">
        <v>1809</v>
      </c>
      <c r="B261" t="str">
        <f t="shared" si="4"/>
        <v>Rsuarez</v>
      </c>
    </row>
    <row r="262" spans="1:2">
      <c r="A262" t="s">
        <v>1810</v>
      </c>
      <c r="B262" t="str">
        <f t="shared" si="4"/>
        <v>Murrayaaron</v>
      </c>
    </row>
    <row r="263" spans="1:2">
      <c r="A263" t="s">
        <v>1811</v>
      </c>
      <c r="B263" t="str">
        <f t="shared" si="4"/>
        <v>Stephen73</v>
      </c>
    </row>
    <row r="264" spans="1:2">
      <c r="A264" t="s">
        <v>1812</v>
      </c>
      <c r="B264" t="str">
        <f t="shared" si="4"/>
        <v>Iadkins</v>
      </c>
    </row>
    <row r="265" spans="1:2">
      <c r="A265" t="s">
        <v>1813</v>
      </c>
      <c r="B265" t="str">
        <f t="shared" si="4"/>
        <v>Smithshawn</v>
      </c>
    </row>
    <row r="266" spans="1:2">
      <c r="A266" t="s">
        <v>1814</v>
      </c>
      <c r="B266" t="str">
        <f t="shared" si="4"/>
        <v>Vanessasmith</v>
      </c>
    </row>
    <row r="267" spans="1:2">
      <c r="A267" t="s">
        <v>1815</v>
      </c>
      <c r="B267" t="str">
        <f t="shared" si="4"/>
        <v>Annaroy</v>
      </c>
    </row>
    <row r="268" spans="1:2">
      <c r="A268" t="s">
        <v>1816</v>
      </c>
      <c r="B268" t="str">
        <f t="shared" si="4"/>
        <v>Dfloyd</v>
      </c>
    </row>
    <row r="269" spans="1:2">
      <c r="A269" t="s">
        <v>1817</v>
      </c>
      <c r="B269" t="str">
        <f t="shared" si="4"/>
        <v>Maryrodriguez</v>
      </c>
    </row>
    <row r="270" spans="1:2">
      <c r="A270" t="s">
        <v>1818</v>
      </c>
      <c r="B270" t="str">
        <f t="shared" si="4"/>
        <v>Tamarafowler</v>
      </c>
    </row>
    <row r="271" spans="1:2">
      <c r="A271" t="s">
        <v>1819</v>
      </c>
      <c r="B271" t="str">
        <f t="shared" si="4"/>
        <v>Nsmith</v>
      </c>
    </row>
    <row r="272" spans="1:2">
      <c r="A272" t="s">
        <v>1820</v>
      </c>
      <c r="B272" t="str">
        <f t="shared" si="4"/>
        <v>Matthew23</v>
      </c>
    </row>
    <row r="273" spans="1:2">
      <c r="A273" t="s">
        <v>1821</v>
      </c>
      <c r="B273" t="str">
        <f t="shared" si="4"/>
        <v>Mmorgan</v>
      </c>
    </row>
    <row r="274" spans="1:2">
      <c r="A274" t="s">
        <v>1822</v>
      </c>
      <c r="B274" t="str">
        <f t="shared" si="4"/>
        <v>Ronaldkennedy</v>
      </c>
    </row>
    <row r="275" spans="1:2">
      <c r="A275" t="s">
        <v>1823</v>
      </c>
      <c r="B275" t="str">
        <f t="shared" si="4"/>
        <v>Megan08</v>
      </c>
    </row>
    <row r="276" spans="1:2">
      <c r="A276" t="s">
        <v>1824</v>
      </c>
      <c r="B276" t="str">
        <f t="shared" si="4"/>
        <v>Kcook</v>
      </c>
    </row>
    <row r="277" spans="1:2">
      <c r="A277" t="s">
        <v>1825</v>
      </c>
      <c r="B277" t="str">
        <f t="shared" si="4"/>
        <v>Donovantrevor</v>
      </c>
    </row>
    <row r="278" spans="1:2">
      <c r="A278" t="s">
        <v>1826</v>
      </c>
      <c r="B278" t="str">
        <f t="shared" si="4"/>
        <v>Melanie33</v>
      </c>
    </row>
    <row r="279" spans="1:2">
      <c r="A279" t="s">
        <v>1827</v>
      </c>
      <c r="B279" t="str">
        <f t="shared" si="4"/>
        <v>Foxdawn</v>
      </c>
    </row>
    <row r="280" spans="1:2">
      <c r="A280" t="s">
        <v>1828</v>
      </c>
      <c r="B280" t="str">
        <f t="shared" si="4"/>
        <v>Walkernathan</v>
      </c>
    </row>
    <row r="281" spans="1:2">
      <c r="A281" t="s">
        <v>1829</v>
      </c>
      <c r="B281" t="str">
        <f t="shared" si="4"/>
        <v>Leslie88</v>
      </c>
    </row>
    <row r="282" spans="1:2">
      <c r="A282" t="s">
        <v>1830</v>
      </c>
      <c r="B282" t="str">
        <f t="shared" si="4"/>
        <v>Brandon14</v>
      </c>
    </row>
    <row r="283" spans="1:2">
      <c r="A283" t="s">
        <v>1831</v>
      </c>
      <c r="B283" t="str">
        <f t="shared" si="4"/>
        <v>Carmenbutler</v>
      </c>
    </row>
    <row r="284" spans="1:2">
      <c r="A284" t="s">
        <v>1832</v>
      </c>
      <c r="B284" t="str">
        <f t="shared" si="4"/>
        <v>Monicaharris</v>
      </c>
    </row>
    <row r="285" spans="1:2">
      <c r="A285" t="s">
        <v>1833</v>
      </c>
      <c r="B285" t="str">
        <f t="shared" si="4"/>
        <v>John69</v>
      </c>
    </row>
    <row r="286" spans="1:2">
      <c r="A286" t="s">
        <v>1834</v>
      </c>
      <c r="B286" t="str">
        <f t="shared" si="4"/>
        <v>Ryan43</v>
      </c>
    </row>
    <row r="287" spans="1:2">
      <c r="A287" t="s">
        <v>1835</v>
      </c>
      <c r="B287" t="str">
        <f t="shared" si="4"/>
        <v>Jeffreybaker</v>
      </c>
    </row>
    <row r="288" spans="1:2">
      <c r="A288" t="s">
        <v>1836</v>
      </c>
      <c r="B288" t="str">
        <f t="shared" si="4"/>
        <v>Floresnatalie</v>
      </c>
    </row>
    <row r="289" spans="1:2">
      <c r="A289" t="s">
        <v>1837</v>
      </c>
      <c r="B289" t="str">
        <f t="shared" si="4"/>
        <v>Tyler13</v>
      </c>
    </row>
    <row r="290" spans="1:2">
      <c r="A290" t="s">
        <v>1838</v>
      </c>
      <c r="B290" t="str">
        <f t="shared" si="4"/>
        <v>Erictrujillo</v>
      </c>
    </row>
    <row r="291" spans="1:2">
      <c r="A291" t="s">
        <v>1839</v>
      </c>
      <c r="B291" t="str">
        <f t="shared" si="4"/>
        <v>Wanda82</v>
      </c>
    </row>
    <row r="292" spans="1:2">
      <c r="A292" t="s">
        <v>1840</v>
      </c>
      <c r="B292" t="str">
        <f t="shared" si="4"/>
        <v>Raymondjenna</v>
      </c>
    </row>
    <row r="293" spans="1:2">
      <c r="A293" t="s">
        <v>1841</v>
      </c>
      <c r="B293" t="str">
        <f t="shared" si="4"/>
        <v>Cassandrarice</v>
      </c>
    </row>
    <row r="294" spans="1:2">
      <c r="A294" t="s">
        <v>1842</v>
      </c>
      <c r="B294" t="str">
        <f t="shared" si="4"/>
        <v>Browndenise</v>
      </c>
    </row>
    <row r="295" spans="1:2">
      <c r="A295" t="s">
        <v>1843</v>
      </c>
      <c r="B295" t="str">
        <f t="shared" si="4"/>
        <v>Jenniferrollins</v>
      </c>
    </row>
    <row r="296" spans="1:2">
      <c r="A296" t="s">
        <v>1844</v>
      </c>
      <c r="B296" t="str">
        <f t="shared" si="4"/>
        <v>Sbrown</v>
      </c>
    </row>
    <row r="297" spans="1:2">
      <c r="A297" t="s">
        <v>1845</v>
      </c>
      <c r="B297" t="str">
        <f t="shared" si="4"/>
        <v>Kevin42</v>
      </c>
    </row>
    <row r="298" spans="1:2">
      <c r="A298" t="s">
        <v>1846</v>
      </c>
      <c r="B298" t="str">
        <f t="shared" si="4"/>
        <v>Yrichardson</v>
      </c>
    </row>
    <row r="299" spans="1:2">
      <c r="A299" t="s">
        <v>1847</v>
      </c>
      <c r="B299" t="str">
        <f t="shared" si="4"/>
        <v>Yperez</v>
      </c>
    </row>
    <row r="300" spans="1:2">
      <c r="A300" t="s">
        <v>1848</v>
      </c>
      <c r="B300" t="str">
        <f t="shared" si="4"/>
        <v>Rileyjohn</v>
      </c>
    </row>
    <row r="301" spans="1:2">
      <c r="A301" t="s">
        <v>1849</v>
      </c>
      <c r="B301" t="str">
        <f t="shared" si="4"/>
        <v>Smallalice</v>
      </c>
    </row>
    <row r="302" spans="1:2">
      <c r="A302" t="s">
        <v>1850</v>
      </c>
      <c r="B302" t="str">
        <f t="shared" si="4"/>
        <v>Nicole11</v>
      </c>
    </row>
    <row r="303" spans="1:2">
      <c r="A303" t="s">
        <v>1851</v>
      </c>
      <c r="B303" t="str">
        <f t="shared" si="4"/>
        <v>Elizabeth99</v>
      </c>
    </row>
    <row r="304" spans="1:2">
      <c r="A304" t="s">
        <v>1852</v>
      </c>
      <c r="B304" t="str">
        <f t="shared" si="4"/>
        <v>Hornjoshua</v>
      </c>
    </row>
    <row r="305" spans="1:2">
      <c r="A305" t="s">
        <v>1853</v>
      </c>
      <c r="B305" t="str">
        <f t="shared" si="4"/>
        <v>Thomas29</v>
      </c>
    </row>
    <row r="306" spans="1:2">
      <c r="A306" t="s">
        <v>1854</v>
      </c>
      <c r="B306" t="str">
        <f t="shared" si="4"/>
        <v>Davidmendoza</v>
      </c>
    </row>
    <row r="307" spans="1:2">
      <c r="A307" t="s">
        <v>1855</v>
      </c>
      <c r="B307" t="str">
        <f t="shared" si="4"/>
        <v>Jacob24</v>
      </c>
    </row>
    <row r="308" spans="1:2">
      <c r="A308" t="s">
        <v>1856</v>
      </c>
      <c r="B308" t="str">
        <f t="shared" si="4"/>
        <v>Nthompson</v>
      </c>
    </row>
    <row r="309" spans="1:2">
      <c r="A309" t="s">
        <v>1857</v>
      </c>
      <c r="B309" t="str">
        <f t="shared" si="4"/>
        <v>Ogarcia</v>
      </c>
    </row>
    <row r="310" spans="1:2">
      <c r="A310" t="s">
        <v>1858</v>
      </c>
      <c r="B310" t="str">
        <f t="shared" si="4"/>
        <v>Cheyennebenton</v>
      </c>
    </row>
    <row r="311" spans="1:2">
      <c r="A311" t="s">
        <v>1859</v>
      </c>
      <c r="B311" t="str">
        <f t="shared" si="4"/>
        <v>Owenssherry</v>
      </c>
    </row>
    <row r="312" spans="1:2">
      <c r="A312" t="s">
        <v>1860</v>
      </c>
      <c r="B312" t="str">
        <f t="shared" si="4"/>
        <v>Tbarker</v>
      </c>
    </row>
    <row r="313" spans="1:2">
      <c r="A313" t="s">
        <v>1861</v>
      </c>
      <c r="B313" t="str">
        <f t="shared" si="4"/>
        <v>Fmason</v>
      </c>
    </row>
    <row r="314" spans="1:2">
      <c r="A314" t="s">
        <v>1862</v>
      </c>
      <c r="B314" t="str">
        <f t="shared" si="4"/>
        <v>Jameswanda</v>
      </c>
    </row>
    <row r="315" spans="1:2">
      <c r="A315" t="s">
        <v>1863</v>
      </c>
      <c r="B315" t="str">
        <f t="shared" si="4"/>
        <v>Dennis63</v>
      </c>
    </row>
    <row r="316" spans="1:2">
      <c r="A316" t="s">
        <v>1864</v>
      </c>
      <c r="B316" t="str">
        <f t="shared" si="4"/>
        <v>Coreyperez</v>
      </c>
    </row>
    <row r="317" spans="1:2">
      <c r="A317" t="s">
        <v>1865</v>
      </c>
      <c r="B317" t="str">
        <f t="shared" si="4"/>
        <v>Gonzalezcindy</v>
      </c>
    </row>
    <row r="318" spans="1:2">
      <c r="A318" t="s">
        <v>1866</v>
      </c>
      <c r="B318" t="str">
        <f t="shared" si="4"/>
        <v>Millersarah</v>
      </c>
    </row>
    <row r="319" spans="1:2">
      <c r="A319" t="s">
        <v>1867</v>
      </c>
      <c r="B319" t="str">
        <f t="shared" si="4"/>
        <v>Thompsontodd</v>
      </c>
    </row>
    <row r="320" spans="1:2">
      <c r="A320" t="s">
        <v>1868</v>
      </c>
      <c r="B320" t="str">
        <f t="shared" si="4"/>
        <v>Waltersnicholas</v>
      </c>
    </row>
    <row r="321" spans="1:2">
      <c r="A321" t="s">
        <v>1869</v>
      </c>
      <c r="B321" t="str">
        <f t="shared" si="4"/>
        <v>Hharris</v>
      </c>
    </row>
    <row r="322" spans="1:2">
      <c r="A322" t="s">
        <v>1870</v>
      </c>
      <c r="B322" t="str">
        <f t="shared" si="4"/>
        <v>Kristopheralvarez</v>
      </c>
    </row>
    <row r="323" spans="1:2">
      <c r="A323" t="s">
        <v>1871</v>
      </c>
      <c r="B323" t="str">
        <f t="shared" ref="B323:B386" si="5">PROPER(TRIM(A323))</f>
        <v>Emilyking</v>
      </c>
    </row>
    <row r="324" spans="1:2">
      <c r="A324" t="s">
        <v>1872</v>
      </c>
      <c r="B324" t="str">
        <f t="shared" si="5"/>
        <v>Bobbyanderson</v>
      </c>
    </row>
    <row r="325" spans="1:2">
      <c r="A325" t="s">
        <v>1873</v>
      </c>
      <c r="B325" t="str">
        <f t="shared" si="5"/>
        <v>Erinhansen</v>
      </c>
    </row>
    <row r="326" spans="1:2">
      <c r="A326" t="s">
        <v>1874</v>
      </c>
      <c r="B326" t="str">
        <f t="shared" si="5"/>
        <v>Gerald82</v>
      </c>
    </row>
    <row r="327" spans="1:2">
      <c r="A327" t="s">
        <v>1875</v>
      </c>
      <c r="B327" t="str">
        <f t="shared" si="5"/>
        <v>Jeffreyjimenez</v>
      </c>
    </row>
    <row r="328" spans="1:2">
      <c r="A328" t="s">
        <v>1876</v>
      </c>
      <c r="B328" t="str">
        <f t="shared" si="5"/>
        <v>Lcase</v>
      </c>
    </row>
    <row r="329" spans="1:2">
      <c r="A329" t="s">
        <v>1877</v>
      </c>
      <c r="B329" t="str">
        <f t="shared" si="5"/>
        <v>Jonathan53</v>
      </c>
    </row>
    <row r="330" spans="1:2">
      <c r="A330" t="s">
        <v>1878</v>
      </c>
      <c r="B330" t="str">
        <f t="shared" si="5"/>
        <v>Ethankaufman</v>
      </c>
    </row>
    <row r="331" spans="1:2">
      <c r="A331" t="s">
        <v>1879</v>
      </c>
      <c r="B331" t="str">
        <f t="shared" si="5"/>
        <v>Jessica34</v>
      </c>
    </row>
    <row r="332" spans="1:2">
      <c r="A332" t="s">
        <v>1880</v>
      </c>
      <c r="B332" t="str">
        <f t="shared" si="5"/>
        <v>Newtonjose</v>
      </c>
    </row>
    <row r="333" spans="1:2">
      <c r="A333" t="s">
        <v>1881</v>
      </c>
      <c r="B333" t="str">
        <f t="shared" si="5"/>
        <v>Johnsonjulie</v>
      </c>
    </row>
    <row r="334" spans="1:2">
      <c r="A334" t="s">
        <v>1882</v>
      </c>
      <c r="B334" t="str">
        <f t="shared" si="5"/>
        <v>Justin27</v>
      </c>
    </row>
    <row r="335" spans="1:2">
      <c r="A335" t="s">
        <v>1883</v>
      </c>
      <c r="B335" t="str">
        <f t="shared" si="5"/>
        <v>Jonesjames</v>
      </c>
    </row>
    <row r="336" spans="1:2">
      <c r="A336" t="s">
        <v>1884</v>
      </c>
      <c r="B336" t="str">
        <f t="shared" si="5"/>
        <v>Melissa44</v>
      </c>
    </row>
    <row r="337" spans="1:2">
      <c r="A337" t="s">
        <v>1885</v>
      </c>
      <c r="B337" t="str">
        <f t="shared" si="5"/>
        <v>Jack69</v>
      </c>
    </row>
    <row r="338" spans="1:2">
      <c r="A338" t="s">
        <v>1886</v>
      </c>
      <c r="B338" t="str">
        <f t="shared" si="5"/>
        <v>Maciasronald</v>
      </c>
    </row>
    <row r="339" spans="1:2">
      <c r="A339" t="s">
        <v>1887</v>
      </c>
      <c r="B339" t="str">
        <f t="shared" si="5"/>
        <v>Douglasluke</v>
      </c>
    </row>
    <row r="340" spans="1:2">
      <c r="A340" t="s">
        <v>1888</v>
      </c>
      <c r="B340" t="str">
        <f t="shared" si="5"/>
        <v>Michael88</v>
      </c>
    </row>
    <row r="341" spans="1:2">
      <c r="A341" t="s">
        <v>1889</v>
      </c>
      <c r="B341" t="str">
        <f t="shared" si="5"/>
        <v>Terrychristina</v>
      </c>
    </row>
    <row r="342" spans="1:2">
      <c r="A342" t="s">
        <v>1890</v>
      </c>
      <c r="B342" t="str">
        <f t="shared" si="5"/>
        <v>Smartin</v>
      </c>
    </row>
    <row r="343" spans="1:2">
      <c r="A343" t="s">
        <v>1891</v>
      </c>
      <c r="B343" t="str">
        <f t="shared" si="5"/>
        <v>Davisheather</v>
      </c>
    </row>
    <row r="344" spans="1:2">
      <c r="A344" t="s">
        <v>1892</v>
      </c>
      <c r="B344" t="str">
        <f t="shared" si="5"/>
        <v>Amber18</v>
      </c>
    </row>
    <row r="345" spans="1:2">
      <c r="A345" t="s">
        <v>1893</v>
      </c>
      <c r="B345" t="str">
        <f t="shared" si="5"/>
        <v>Hollyjenkins</v>
      </c>
    </row>
    <row r="346" spans="1:2">
      <c r="A346" t="s">
        <v>1894</v>
      </c>
      <c r="B346" t="str">
        <f t="shared" si="5"/>
        <v>Parkerpatricia</v>
      </c>
    </row>
    <row r="347" spans="1:2">
      <c r="A347" t="s">
        <v>1895</v>
      </c>
      <c r="B347" t="str">
        <f t="shared" si="5"/>
        <v>Kellergregory</v>
      </c>
    </row>
    <row r="348" spans="1:2">
      <c r="A348" t="s">
        <v>1896</v>
      </c>
      <c r="B348" t="str">
        <f t="shared" si="5"/>
        <v>Michellewilliams</v>
      </c>
    </row>
    <row r="349" spans="1:2">
      <c r="A349" t="s">
        <v>1897</v>
      </c>
      <c r="B349" t="str">
        <f t="shared" si="5"/>
        <v>Ericmoore</v>
      </c>
    </row>
    <row r="350" spans="1:2">
      <c r="A350" t="s">
        <v>1898</v>
      </c>
      <c r="B350" t="str">
        <f t="shared" si="5"/>
        <v>Angelaramsey</v>
      </c>
    </row>
    <row r="351" spans="1:2">
      <c r="A351" t="s">
        <v>1899</v>
      </c>
      <c r="B351" t="str">
        <f t="shared" si="5"/>
        <v>Brooke04</v>
      </c>
    </row>
    <row r="352" spans="1:2">
      <c r="A352" t="s">
        <v>1900</v>
      </c>
      <c r="B352" t="str">
        <f t="shared" si="5"/>
        <v>Nicholas09</v>
      </c>
    </row>
    <row r="353" spans="1:2">
      <c r="A353" t="s">
        <v>1901</v>
      </c>
      <c r="B353" t="str">
        <f t="shared" si="5"/>
        <v>Boonekristen</v>
      </c>
    </row>
    <row r="354" spans="1:2">
      <c r="A354" t="s">
        <v>1902</v>
      </c>
      <c r="B354" t="str">
        <f t="shared" si="5"/>
        <v>Udavis</v>
      </c>
    </row>
    <row r="355" spans="1:2">
      <c r="A355" t="s">
        <v>1903</v>
      </c>
      <c r="B355" t="str">
        <f t="shared" si="5"/>
        <v>Jmcknight</v>
      </c>
    </row>
    <row r="356" spans="1:2">
      <c r="A356" t="s">
        <v>1904</v>
      </c>
      <c r="B356" t="str">
        <f t="shared" si="5"/>
        <v>Sarahlawrence</v>
      </c>
    </row>
    <row r="357" spans="1:2">
      <c r="A357" t="s">
        <v>1905</v>
      </c>
      <c r="B357" t="str">
        <f t="shared" si="5"/>
        <v>Hardychristopher</v>
      </c>
    </row>
    <row r="358" spans="1:2">
      <c r="A358" t="s">
        <v>1906</v>
      </c>
      <c r="B358" t="str">
        <f t="shared" si="5"/>
        <v>Sara36</v>
      </c>
    </row>
    <row r="359" spans="1:2">
      <c r="A359" t="s">
        <v>1907</v>
      </c>
      <c r="B359" t="str">
        <f t="shared" si="5"/>
        <v>Leestewart</v>
      </c>
    </row>
    <row r="360" spans="1:2">
      <c r="A360" t="s">
        <v>1908</v>
      </c>
      <c r="B360" t="str">
        <f t="shared" si="5"/>
        <v>Lisacoffey</v>
      </c>
    </row>
    <row r="361" spans="1:2">
      <c r="A361" t="s">
        <v>1909</v>
      </c>
      <c r="B361" t="str">
        <f t="shared" si="5"/>
        <v>Popelance</v>
      </c>
    </row>
    <row r="362" spans="1:2">
      <c r="A362" t="s">
        <v>1910</v>
      </c>
      <c r="B362" t="str">
        <f t="shared" si="5"/>
        <v>Mfarley</v>
      </c>
    </row>
    <row r="363" spans="1:2">
      <c r="A363" t="s">
        <v>1911</v>
      </c>
      <c r="B363" t="str">
        <f t="shared" si="5"/>
        <v>Ruizkimberly</v>
      </c>
    </row>
    <row r="364" spans="1:2">
      <c r="A364" t="s">
        <v>1912</v>
      </c>
      <c r="B364" t="str">
        <f t="shared" si="5"/>
        <v>Andersonwilliam</v>
      </c>
    </row>
    <row r="365" spans="1:2">
      <c r="A365" t="s">
        <v>1913</v>
      </c>
      <c r="B365" t="str">
        <f t="shared" si="5"/>
        <v>Andrewtran</v>
      </c>
    </row>
    <row r="366" spans="1:2">
      <c r="A366" t="s">
        <v>1914</v>
      </c>
      <c r="B366" t="str">
        <f t="shared" si="5"/>
        <v>Lynchtina</v>
      </c>
    </row>
    <row r="367" spans="1:2">
      <c r="A367" t="s">
        <v>1915</v>
      </c>
      <c r="B367" t="str">
        <f t="shared" si="5"/>
        <v>Kelly45</v>
      </c>
    </row>
    <row r="368" spans="1:2">
      <c r="A368" t="s">
        <v>1916</v>
      </c>
      <c r="B368" t="str">
        <f t="shared" si="5"/>
        <v>Morrisryan</v>
      </c>
    </row>
    <row r="369" spans="1:2">
      <c r="A369" t="s">
        <v>1917</v>
      </c>
      <c r="B369" t="str">
        <f t="shared" si="5"/>
        <v>Aryan</v>
      </c>
    </row>
    <row r="370" spans="1:2">
      <c r="A370" t="s">
        <v>1726</v>
      </c>
      <c r="B370" t="str">
        <f t="shared" si="5"/>
        <v>Iyoung</v>
      </c>
    </row>
    <row r="371" spans="1:2">
      <c r="A371" t="s">
        <v>1918</v>
      </c>
      <c r="B371" t="str">
        <f t="shared" si="5"/>
        <v>Huntlawrence</v>
      </c>
    </row>
    <row r="372" spans="1:2">
      <c r="A372" t="s">
        <v>1919</v>
      </c>
      <c r="B372" t="str">
        <f t="shared" si="5"/>
        <v>Parkzachary</v>
      </c>
    </row>
    <row r="373" spans="1:2">
      <c r="A373" t="s">
        <v>1920</v>
      </c>
      <c r="B373" t="str">
        <f t="shared" si="5"/>
        <v>Amandarogers</v>
      </c>
    </row>
    <row r="374" spans="1:2">
      <c r="A374" t="s">
        <v>1921</v>
      </c>
      <c r="B374" t="str">
        <f t="shared" si="5"/>
        <v>Bharris</v>
      </c>
    </row>
    <row r="375" spans="1:2">
      <c r="A375" t="s">
        <v>1922</v>
      </c>
      <c r="B375" t="str">
        <f t="shared" si="5"/>
        <v>Rojasjennifer</v>
      </c>
    </row>
    <row r="376" spans="1:2">
      <c r="A376" t="s">
        <v>1923</v>
      </c>
      <c r="B376" t="str">
        <f t="shared" si="5"/>
        <v>Christopher10</v>
      </c>
    </row>
    <row r="377" spans="1:2">
      <c r="A377" t="s">
        <v>1924</v>
      </c>
      <c r="B377" t="str">
        <f t="shared" si="5"/>
        <v>Monique85</v>
      </c>
    </row>
    <row r="378" spans="1:2">
      <c r="A378" t="s">
        <v>1925</v>
      </c>
      <c r="B378" t="str">
        <f t="shared" si="5"/>
        <v>Hhuff</v>
      </c>
    </row>
    <row r="379" spans="1:2">
      <c r="A379" t="s">
        <v>1926</v>
      </c>
      <c r="B379" t="str">
        <f t="shared" si="5"/>
        <v>Caitlingonzales</v>
      </c>
    </row>
    <row r="380" spans="1:2">
      <c r="A380" t="s">
        <v>1927</v>
      </c>
      <c r="B380" t="str">
        <f t="shared" si="5"/>
        <v>Tdavis</v>
      </c>
    </row>
    <row r="381" spans="1:2">
      <c r="A381" t="s">
        <v>1928</v>
      </c>
      <c r="B381" t="str">
        <f t="shared" si="5"/>
        <v>Jessicacisneros</v>
      </c>
    </row>
    <row r="382" spans="1:2">
      <c r="A382" t="s">
        <v>1929</v>
      </c>
      <c r="B382" t="str">
        <f t="shared" si="5"/>
        <v>Shelbyvalencia</v>
      </c>
    </row>
    <row r="383" spans="1:2">
      <c r="A383" t="s">
        <v>1930</v>
      </c>
      <c r="B383" t="str">
        <f t="shared" si="5"/>
        <v>Jonathan22</v>
      </c>
    </row>
    <row r="384" spans="1:2">
      <c r="A384" t="s">
        <v>1931</v>
      </c>
      <c r="B384" t="str">
        <f t="shared" si="5"/>
        <v>Derrickbuck</v>
      </c>
    </row>
    <row r="385" spans="1:2">
      <c r="A385" t="s">
        <v>1932</v>
      </c>
      <c r="B385" t="str">
        <f t="shared" si="5"/>
        <v>Zvargas</v>
      </c>
    </row>
    <row r="386" spans="1:2">
      <c r="A386" t="s">
        <v>1933</v>
      </c>
      <c r="B386" t="str">
        <f t="shared" si="5"/>
        <v>Rsutton</v>
      </c>
    </row>
    <row r="387" spans="1:2">
      <c r="A387" t="s">
        <v>1934</v>
      </c>
      <c r="B387" t="str">
        <f t="shared" ref="B387:B450" si="6">PROPER(TRIM(A387))</f>
        <v>Olopez</v>
      </c>
    </row>
    <row r="388" spans="1:2">
      <c r="A388" t="s">
        <v>1935</v>
      </c>
      <c r="B388" t="str">
        <f t="shared" si="6"/>
        <v>Carol86</v>
      </c>
    </row>
    <row r="389" spans="1:2">
      <c r="A389" t="s">
        <v>1936</v>
      </c>
      <c r="B389" t="str">
        <f t="shared" si="6"/>
        <v>Lisabarber</v>
      </c>
    </row>
    <row r="390" spans="1:2">
      <c r="A390" t="s">
        <v>1937</v>
      </c>
      <c r="B390" t="str">
        <f t="shared" si="6"/>
        <v>Howardsamantha</v>
      </c>
    </row>
    <row r="391" spans="1:2">
      <c r="A391" t="s">
        <v>1938</v>
      </c>
      <c r="B391" t="str">
        <f t="shared" si="6"/>
        <v>Lance41</v>
      </c>
    </row>
    <row r="392" spans="1:2">
      <c r="A392" t="s">
        <v>1939</v>
      </c>
      <c r="B392" t="str">
        <f t="shared" si="6"/>
        <v>Williamsonkirsten</v>
      </c>
    </row>
    <row r="393" spans="1:2">
      <c r="A393" t="s">
        <v>1940</v>
      </c>
      <c r="B393" t="str">
        <f t="shared" si="6"/>
        <v>Bellraymond</v>
      </c>
    </row>
    <row r="394" spans="1:2">
      <c r="A394" t="s">
        <v>1941</v>
      </c>
      <c r="B394" t="str">
        <f t="shared" si="6"/>
        <v>Steven30</v>
      </c>
    </row>
    <row r="395" spans="1:2">
      <c r="A395" t="s">
        <v>1942</v>
      </c>
      <c r="B395" t="str">
        <f t="shared" si="6"/>
        <v>Hillchristopher</v>
      </c>
    </row>
    <row r="396" spans="1:2">
      <c r="A396" t="s">
        <v>1943</v>
      </c>
      <c r="B396" t="str">
        <f t="shared" si="6"/>
        <v>Ftyler</v>
      </c>
    </row>
    <row r="397" spans="1:2">
      <c r="A397" t="s">
        <v>1944</v>
      </c>
      <c r="B397" t="str">
        <f t="shared" si="6"/>
        <v>Soliskyle</v>
      </c>
    </row>
    <row r="398" spans="1:2">
      <c r="A398" t="s">
        <v>1945</v>
      </c>
      <c r="B398" t="str">
        <f t="shared" si="6"/>
        <v>Angelicawillis</v>
      </c>
    </row>
    <row r="399" spans="1:2">
      <c r="A399" t="s">
        <v>1946</v>
      </c>
      <c r="B399" t="str">
        <f t="shared" si="6"/>
        <v>Aprince</v>
      </c>
    </row>
    <row r="400" spans="1:2">
      <c r="A400" t="s">
        <v>1947</v>
      </c>
      <c r="B400" t="str">
        <f t="shared" si="6"/>
        <v>Dylanblack</v>
      </c>
    </row>
    <row r="401" spans="1:2">
      <c r="A401" t="s">
        <v>1948</v>
      </c>
      <c r="B401" t="str">
        <f t="shared" si="6"/>
        <v>Hoodchristopher</v>
      </c>
    </row>
    <row r="402" spans="1:2">
      <c r="A402" t="s">
        <v>1949</v>
      </c>
      <c r="B402" t="str">
        <f t="shared" si="6"/>
        <v>Sandraclark</v>
      </c>
    </row>
    <row r="403" spans="1:2">
      <c r="A403" t="s">
        <v>1950</v>
      </c>
      <c r="B403" t="str">
        <f t="shared" si="6"/>
        <v>Ffitzpatrick</v>
      </c>
    </row>
    <row r="404" spans="1:2">
      <c r="A404" t="s">
        <v>1951</v>
      </c>
      <c r="B404" t="str">
        <f t="shared" si="6"/>
        <v>Dominiquejohnson</v>
      </c>
    </row>
    <row r="405" spans="1:2">
      <c r="A405" t="s">
        <v>1952</v>
      </c>
      <c r="B405" t="str">
        <f t="shared" si="6"/>
        <v>Sellersgregory</v>
      </c>
    </row>
    <row r="406" spans="1:2">
      <c r="A406" t="s">
        <v>1953</v>
      </c>
      <c r="B406" t="str">
        <f t="shared" si="6"/>
        <v>Armstrongmary</v>
      </c>
    </row>
    <row r="407" spans="1:2">
      <c r="A407" t="s">
        <v>1954</v>
      </c>
      <c r="B407" t="str">
        <f t="shared" si="6"/>
        <v>Barnettdonna</v>
      </c>
    </row>
    <row r="408" spans="1:2">
      <c r="A408" t="s">
        <v>1955</v>
      </c>
      <c r="B408" t="str">
        <f t="shared" si="6"/>
        <v>Melissaphillips</v>
      </c>
    </row>
    <row r="409" spans="1:2">
      <c r="A409" t="s">
        <v>1956</v>
      </c>
      <c r="B409" t="str">
        <f t="shared" si="6"/>
        <v>Hoffmandaniel</v>
      </c>
    </row>
    <row r="410" spans="1:2">
      <c r="A410" t="s">
        <v>1957</v>
      </c>
      <c r="B410" t="str">
        <f t="shared" si="6"/>
        <v>Thomascorey</v>
      </c>
    </row>
    <row r="411" spans="1:2">
      <c r="A411" t="s">
        <v>1958</v>
      </c>
      <c r="B411" t="str">
        <f t="shared" si="6"/>
        <v>Thomas01</v>
      </c>
    </row>
    <row r="412" spans="1:2">
      <c r="A412" t="s">
        <v>1959</v>
      </c>
      <c r="B412" t="str">
        <f t="shared" si="6"/>
        <v>Riddleaaron</v>
      </c>
    </row>
    <row r="413" spans="1:2">
      <c r="A413" t="s">
        <v>1960</v>
      </c>
      <c r="B413" t="str">
        <f t="shared" si="6"/>
        <v>Tdean</v>
      </c>
    </row>
    <row r="414" spans="1:2">
      <c r="A414" t="s">
        <v>1961</v>
      </c>
      <c r="B414" t="str">
        <f t="shared" si="6"/>
        <v>Bruce10</v>
      </c>
    </row>
    <row r="415" spans="1:2">
      <c r="A415" t="s">
        <v>1962</v>
      </c>
      <c r="B415" t="str">
        <f t="shared" si="6"/>
        <v>Annettejackson</v>
      </c>
    </row>
    <row r="416" spans="1:2">
      <c r="A416" t="s">
        <v>1963</v>
      </c>
      <c r="B416" t="str">
        <f t="shared" si="6"/>
        <v>Kingtroy</v>
      </c>
    </row>
    <row r="417" spans="1:2">
      <c r="A417" t="s">
        <v>1964</v>
      </c>
      <c r="B417" t="str">
        <f t="shared" si="6"/>
        <v>Coxanthony</v>
      </c>
    </row>
    <row r="418" spans="1:2">
      <c r="A418" t="s">
        <v>1965</v>
      </c>
      <c r="B418" t="str">
        <f t="shared" si="6"/>
        <v>Paige96</v>
      </c>
    </row>
    <row r="419" spans="1:2">
      <c r="A419" t="s">
        <v>1966</v>
      </c>
      <c r="B419" t="str">
        <f t="shared" si="6"/>
        <v>Sabrina44</v>
      </c>
    </row>
    <row r="420" spans="1:2">
      <c r="A420" t="s">
        <v>1967</v>
      </c>
      <c r="B420" t="str">
        <f t="shared" si="6"/>
        <v>Neilmorrison</v>
      </c>
    </row>
    <row r="421" spans="1:2">
      <c r="A421" t="s">
        <v>1968</v>
      </c>
      <c r="B421" t="str">
        <f t="shared" si="6"/>
        <v>Russochelsey</v>
      </c>
    </row>
    <row r="422" spans="1:2">
      <c r="A422" t="s">
        <v>1969</v>
      </c>
      <c r="B422" t="str">
        <f t="shared" si="6"/>
        <v>Pwright</v>
      </c>
    </row>
    <row r="423" spans="1:2">
      <c r="A423" t="s">
        <v>1970</v>
      </c>
      <c r="B423" t="str">
        <f t="shared" si="6"/>
        <v>Samantha20</v>
      </c>
    </row>
    <row r="424" spans="1:2">
      <c r="A424" t="s">
        <v>1971</v>
      </c>
      <c r="B424" t="str">
        <f t="shared" si="6"/>
        <v>Johnsonandrea</v>
      </c>
    </row>
    <row r="425" spans="1:2">
      <c r="A425" t="s">
        <v>1972</v>
      </c>
      <c r="B425" t="str">
        <f t="shared" si="6"/>
        <v>Nramos</v>
      </c>
    </row>
    <row r="426" spans="1:2">
      <c r="A426" t="s">
        <v>1973</v>
      </c>
      <c r="B426" t="str">
        <f t="shared" si="6"/>
        <v>Pmoore</v>
      </c>
    </row>
    <row r="427" spans="1:2">
      <c r="A427" t="s">
        <v>1974</v>
      </c>
      <c r="B427" t="str">
        <f t="shared" si="6"/>
        <v>Enielsen</v>
      </c>
    </row>
    <row r="428" spans="1:2">
      <c r="A428" t="s">
        <v>1975</v>
      </c>
      <c r="B428" t="str">
        <f t="shared" si="6"/>
        <v>Melissa17</v>
      </c>
    </row>
    <row r="429" spans="1:2">
      <c r="A429" t="s">
        <v>1976</v>
      </c>
      <c r="B429" t="str">
        <f t="shared" si="6"/>
        <v>Jennifer94</v>
      </c>
    </row>
    <row r="430" spans="1:2">
      <c r="A430" t="s">
        <v>1977</v>
      </c>
      <c r="B430" t="str">
        <f t="shared" si="6"/>
        <v>Twashington</v>
      </c>
    </row>
    <row r="431" spans="1:2">
      <c r="A431" t="s">
        <v>1978</v>
      </c>
      <c r="B431" t="str">
        <f t="shared" si="6"/>
        <v>Brian05</v>
      </c>
    </row>
    <row r="432" spans="1:2">
      <c r="A432" t="s">
        <v>1979</v>
      </c>
      <c r="B432" t="str">
        <f t="shared" si="6"/>
        <v>Emilynelson</v>
      </c>
    </row>
    <row r="433" spans="1:2">
      <c r="A433" t="s">
        <v>1980</v>
      </c>
      <c r="B433" t="str">
        <f t="shared" si="6"/>
        <v>Kacosta</v>
      </c>
    </row>
    <row r="434" spans="1:2">
      <c r="A434" t="s">
        <v>1981</v>
      </c>
      <c r="B434" t="str">
        <f t="shared" si="6"/>
        <v>Yvette50</v>
      </c>
    </row>
    <row r="435" spans="1:2">
      <c r="A435" t="s">
        <v>1982</v>
      </c>
      <c r="B435" t="str">
        <f t="shared" si="6"/>
        <v>Lisajames</v>
      </c>
    </row>
    <row r="436" spans="1:2">
      <c r="A436" t="s">
        <v>1983</v>
      </c>
      <c r="B436" t="str">
        <f t="shared" si="6"/>
        <v>Linda22</v>
      </c>
    </row>
    <row r="437" spans="1:2">
      <c r="A437" t="s">
        <v>1984</v>
      </c>
      <c r="B437" t="str">
        <f t="shared" si="6"/>
        <v>Gregbaker</v>
      </c>
    </row>
    <row r="438" spans="1:2">
      <c r="A438" t="s">
        <v>1985</v>
      </c>
      <c r="B438" t="str">
        <f t="shared" si="6"/>
        <v>Sheila89</v>
      </c>
    </row>
    <row r="439" spans="1:2">
      <c r="A439" t="s">
        <v>1986</v>
      </c>
      <c r="B439" t="str">
        <f t="shared" si="6"/>
        <v>Pweaver</v>
      </c>
    </row>
    <row r="440" spans="1:2">
      <c r="A440" t="s">
        <v>1987</v>
      </c>
      <c r="B440" t="str">
        <f t="shared" si="6"/>
        <v>Thomas99</v>
      </c>
    </row>
    <row r="441" spans="1:2">
      <c r="A441" t="s">
        <v>1988</v>
      </c>
      <c r="B441" t="str">
        <f t="shared" si="6"/>
        <v>Victoria39</v>
      </c>
    </row>
    <row r="442" spans="1:2">
      <c r="A442" t="s">
        <v>1989</v>
      </c>
      <c r="B442" t="str">
        <f t="shared" si="6"/>
        <v>Ecooley</v>
      </c>
    </row>
    <row r="443" spans="1:2">
      <c r="A443" t="s">
        <v>1990</v>
      </c>
      <c r="B443" t="str">
        <f t="shared" si="6"/>
        <v>Brenda52</v>
      </c>
    </row>
    <row r="444" spans="1:2">
      <c r="A444" t="s">
        <v>1991</v>
      </c>
      <c r="B444" t="str">
        <f t="shared" si="6"/>
        <v>Zmendoza</v>
      </c>
    </row>
    <row r="445" spans="1:2">
      <c r="A445" t="s">
        <v>1992</v>
      </c>
      <c r="B445" t="str">
        <f t="shared" si="6"/>
        <v>Jamesbarber</v>
      </c>
    </row>
    <row r="446" spans="1:2">
      <c r="A446" t="s">
        <v>1993</v>
      </c>
      <c r="B446" t="str">
        <f t="shared" si="6"/>
        <v>Caitlinmiller</v>
      </c>
    </row>
    <row r="447" spans="1:2">
      <c r="A447" t="s">
        <v>1994</v>
      </c>
      <c r="B447" t="str">
        <f t="shared" si="6"/>
        <v>Davidhunt</v>
      </c>
    </row>
    <row r="448" spans="1:2">
      <c r="A448" t="s">
        <v>1995</v>
      </c>
      <c r="B448" t="str">
        <f t="shared" si="6"/>
        <v>Fsteele</v>
      </c>
    </row>
    <row r="449" spans="1:2">
      <c r="A449" t="s">
        <v>1996</v>
      </c>
      <c r="B449" t="str">
        <f t="shared" si="6"/>
        <v>Keithunderwood</v>
      </c>
    </row>
    <row r="450" spans="1:2">
      <c r="A450" t="s">
        <v>1997</v>
      </c>
      <c r="B450" t="str">
        <f t="shared" si="6"/>
        <v>Hernandezcatherine</v>
      </c>
    </row>
    <row r="451" spans="1:2">
      <c r="A451" t="s">
        <v>1998</v>
      </c>
      <c r="B451" t="str">
        <f t="shared" ref="B451:B501" si="7">PROPER(TRIM(A451))</f>
        <v>Bherrera</v>
      </c>
    </row>
    <row r="452" spans="1:2">
      <c r="A452" t="s">
        <v>1999</v>
      </c>
      <c r="B452" t="str">
        <f t="shared" si="7"/>
        <v>Chendavid</v>
      </c>
    </row>
    <row r="453" spans="1:2">
      <c r="A453" t="s">
        <v>2000</v>
      </c>
      <c r="B453" t="str">
        <f t="shared" si="7"/>
        <v>Rware</v>
      </c>
    </row>
    <row r="454" spans="1:2">
      <c r="A454" t="s">
        <v>2001</v>
      </c>
      <c r="B454" t="str">
        <f t="shared" si="7"/>
        <v>Gloriajohnson</v>
      </c>
    </row>
    <row r="455" spans="1:2">
      <c r="A455" t="s">
        <v>2002</v>
      </c>
      <c r="B455" t="str">
        <f t="shared" si="7"/>
        <v>Allenvictor</v>
      </c>
    </row>
    <row r="456" spans="1:2">
      <c r="A456" t="s">
        <v>2003</v>
      </c>
      <c r="B456" t="str">
        <f t="shared" si="7"/>
        <v>Sheiladavis</v>
      </c>
    </row>
    <row r="457" spans="1:2">
      <c r="A457" t="s">
        <v>2004</v>
      </c>
      <c r="B457" t="str">
        <f t="shared" si="7"/>
        <v>Tgill</v>
      </c>
    </row>
    <row r="458" spans="1:2">
      <c r="A458" t="s">
        <v>2005</v>
      </c>
      <c r="B458" t="str">
        <f t="shared" si="7"/>
        <v>Lindagalloway</v>
      </c>
    </row>
    <row r="459" spans="1:2">
      <c r="A459" t="s">
        <v>2006</v>
      </c>
      <c r="B459" t="str">
        <f t="shared" si="7"/>
        <v>Jbriggs</v>
      </c>
    </row>
    <row r="460" spans="1:2">
      <c r="A460" t="s">
        <v>2007</v>
      </c>
      <c r="B460" t="str">
        <f t="shared" si="7"/>
        <v>Danielleonard</v>
      </c>
    </row>
    <row r="461" spans="1:2">
      <c r="A461" t="s">
        <v>2008</v>
      </c>
      <c r="B461" t="str">
        <f t="shared" si="7"/>
        <v>Ramirezandrea</v>
      </c>
    </row>
    <row r="462" spans="1:2">
      <c r="A462" t="s">
        <v>2009</v>
      </c>
      <c r="B462" t="str">
        <f t="shared" si="7"/>
        <v>Jeffreyjohnson</v>
      </c>
    </row>
    <row r="463" spans="1:2">
      <c r="A463" t="s">
        <v>2010</v>
      </c>
      <c r="B463" t="str">
        <f t="shared" si="7"/>
        <v>Dannyforbes</v>
      </c>
    </row>
    <row r="464" spans="1:2">
      <c r="A464" t="s">
        <v>2011</v>
      </c>
      <c r="B464" t="str">
        <f t="shared" si="7"/>
        <v>Wallacedebra</v>
      </c>
    </row>
    <row r="465" spans="1:2">
      <c r="A465" t="s">
        <v>2012</v>
      </c>
      <c r="B465" t="str">
        <f t="shared" si="7"/>
        <v>Jennifersmith</v>
      </c>
    </row>
    <row r="466" spans="1:2">
      <c r="A466" t="s">
        <v>2013</v>
      </c>
      <c r="B466" t="str">
        <f t="shared" si="7"/>
        <v>Steven19</v>
      </c>
    </row>
    <row r="467" spans="1:2">
      <c r="A467" t="s">
        <v>2014</v>
      </c>
      <c r="B467" t="str">
        <f t="shared" si="7"/>
        <v>Jacob95</v>
      </c>
    </row>
    <row r="468" spans="1:2">
      <c r="A468" t="s">
        <v>2015</v>
      </c>
      <c r="B468" t="str">
        <f t="shared" si="7"/>
        <v>Mlewis</v>
      </c>
    </row>
    <row r="469" spans="1:2">
      <c r="A469" t="s">
        <v>2016</v>
      </c>
      <c r="B469" t="str">
        <f t="shared" si="7"/>
        <v>Charles59</v>
      </c>
    </row>
    <row r="470" spans="1:2">
      <c r="A470" t="s">
        <v>2017</v>
      </c>
      <c r="B470" t="str">
        <f t="shared" si="7"/>
        <v>Kgonzalez</v>
      </c>
    </row>
    <row r="471" spans="1:2">
      <c r="A471" t="s">
        <v>2018</v>
      </c>
      <c r="B471" t="str">
        <f t="shared" si="7"/>
        <v>Marcus01</v>
      </c>
    </row>
    <row r="472" spans="1:2">
      <c r="A472" t="s">
        <v>2019</v>
      </c>
      <c r="B472" t="str">
        <f t="shared" si="7"/>
        <v>Leonwells</v>
      </c>
    </row>
    <row r="473" spans="1:2">
      <c r="A473" t="s">
        <v>2020</v>
      </c>
      <c r="B473" t="str">
        <f t="shared" si="7"/>
        <v>Erika85</v>
      </c>
    </row>
    <row r="474" spans="1:2">
      <c r="A474" t="s">
        <v>2021</v>
      </c>
      <c r="B474" t="str">
        <f t="shared" si="7"/>
        <v>Jonathonmayer</v>
      </c>
    </row>
    <row r="475" spans="1:2">
      <c r="A475" t="s">
        <v>2022</v>
      </c>
      <c r="B475" t="str">
        <f t="shared" si="7"/>
        <v>Nicholas43</v>
      </c>
    </row>
    <row r="476" spans="1:2">
      <c r="A476" t="s">
        <v>2023</v>
      </c>
      <c r="B476" t="str">
        <f t="shared" si="7"/>
        <v>Paula25</v>
      </c>
    </row>
    <row r="477" spans="1:2">
      <c r="A477" t="s">
        <v>2024</v>
      </c>
      <c r="B477" t="str">
        <f t="shared" si="7"/>
        <v>Smithcarrie</v>
      </c>
    </row>
    <row r="478" spans="1:2">
      <c r="A478" t="s">
        <v>2025</v>
      </c>
      <c r="B478" t="str">
        <f t="shared" si="7"/>
        <v>Valenzuelakim</v>
      </c>
    </row>
    <row r="479" spans="1:2">
      <c r="A479" t="s">
        <v>2026</v>
      </c>
      <c r="B479" t="str">
        <f t="shared" si="7"/>
        <v>Adamsbarbara</v>
      </c>
    </row>
    <row r="480" spans="1:2">
      <c r="A480" t="s">
        <v>2027</v>
      </c>
      <c r="B480" t="str">
        <f t="shared" si="7"/>
        <v>Cathy10</v>
      </c>
    </row>
    <row r="481" spans="1:2">
      <c r="A481" t="s">
        <v>2028</v>
      </c>
      <c r="B481" t="str">
        <f t="shared" si="7"/>
        <v>Rogersmary</v>
      </c>
    </row>
    <row r="482" spans="1:2">
      <c r="A482" t="s">
        <v>2029</v>
      </c>
      <c r="B482" t="str">
        <f t="shared" si="7"/>
        <v>Georgejones</v>
      </c>
    </row>
    <row r="483" spans="1:2">
      <c r="A483" t="s">
        <v>2030</v>
      </c>
      <c r="B483" t="str">
        <f t="shared" si="7"/>
        <v>Donna27</v>
      </c>
    </row>
    <row r="484" spans="1:2">
      <c r="A484" t="s">
        <v>2031</v>
      </c>
      <c r="B484" t="str">
        <f t="shared" si="7"/>
        <v>Jhayes</v>
      </c>
    </row>
    <row r="485" spans="1:2">
      <c r="A485" t="s">
        <v>2032</v>
      </c>
      <c r="B485" t="str">
        <f t="shared" si="7"/>
        <v>Neallisa</v>
      </c>
    </row>
    <row r="486" spans="1:2">
      <c r="A486" t="s">
        <v>2033</v>
      </c>
      <c r="B486" t="str">
        <f t="shared" si="7"/>
        <v>Evanskristen</v>
      </c>
    </row>
    <row r="487" spans="1:2">
      <c r="A487" t="s">
        <v>2034</v>
      </c>
      <c r="B487" t="str">
        <f t="shared" si="7"/>
        <v>Bhenson</v>
      </c>
    </row>
    <row r="488" spans="1:2">
      <c r="A488" t="s">
        <v>2035</v>
      </c>
      <c r="B488" t="str">
        <f t="shared" si="7"/>
        <v>Hgardner</v>
      </c>
    </row>
    <row r="489" spans="1:2">
      <c r="A489" t="s">
        <v>2036</v>
      </c>
      <c r="B489" t="str">
        <f t="shared" si="7"/>
        <v>Mckinneychristopher</v>
      </c>
    </row>
    <row r="490" spans="1:2">
      <c r="A490" t="s">
        <v>2037</v>
      </c>
      <c r="B490" t="str">
        <f t="shared" si="7"/>
        <v>Elizabeth71</v>
      </c>
    </row>
    <row r="491" spans="1:2">
      <c r="A491" t="s">
        <v>2038</v>
      </c>
      <c r="B491" t="str">
        <f t="shared" si="7"/>
        <v>Ilambert</v>
      </c>
    </row>
    <row r="492" spans="1:2">
      <c r="A492" t="s">
        <v>2039</v>
      </c>
      <c r="B492" t="str">
        <f t="shared" si="7"/>
        <v>Millerdonald</v>
      </c>
    </row>
    <row r="493" spans="1:2">
      <c r="A493" t="s">
        <v>2040</v>
      </c>
      <c r="B493" t="str">
        <f t="shared" si="7"/>
        <v>Krogers</v>
      </c>
    </row>
    <row r="494" spans="1:2">
      <c r="A494" t="s">
        <v>2041</v>
      </c>
      <c r="B494" t="str">
        <f t="shared" si="7"/>
        <v>Scott72</v>
      </c>
    </row>
    <row r="495" spans="1:2">
      <c r="A495" t="s">
        <v>2042</v>
      </c>
      <c r="B495" t="str">
        <f t="shared" si="7"/>
        <v>Simsalexis</v>
      </c>
    </row>
    <row r="496" spans="1:2">
      <c r="A496" t="s">
        <v>2043</v>
      </c>
      <c r="B496" t="str">
        <f t="shared" si="7"/>
        <v>Kingsandra</v>
      </c>
    </row>
    <row r="497" spans="1:2">
      <c r="A497" t="s">
        <v>2044</v>
      </c>
      <c r="B497" t="str">
        <f t="shared" si="7"/>
        <v>April12</v>
      </c>
    </row>
    <row r="498" spans="1:2">
      <c r="A498" t="s">
        <v>2045</v>
      </c>
      <c r="B498" t="str">
        <f t="shared" si="7"/>
        <v>Turnersusan</v>
      </c>
    </row>
    <row r="499" spans="1:2">
      <c r="A499" t="s">
        <v>2046</v>
      </c>
      <c r="B499" t="str">
        <f t="shared" si="7"/>
        <v>Kenneth92</v>
      </c>
    </row>
    <row r="500" spans="1:2">
      <c r="A500" t="s">
        <v>2047</v>
      </c>
      <c r="B500" t="str">
        <f t="shared" si="7"/>
        <v>Victoria57</v>
      </c>
    </row>
    <row r="501" spans="1:2">
      <c r="A501" t="s">
        <v>2048</v>
      </c>
      <c r="B501" t="str">
        <f t="shared" si="7"/>
        <v>Fnolan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R32"/>
  <sheetViews>
    <sheetView showGridLines="0" zoomScale="55" zoomScaleNormal="55" workbookViewId="0">
      <selection activeCell="I6" sqref="I6:U6"/>
    </sheetView>
  </sheetViews>
  <sheetFormatPr defaultColWidth="8.88671875" defaultRowHeight="14.4"/>
  <cols>
    <col min="1" max="16384" width="8.88671875" style="1"/>
  </cols>
  <sheetData>
    <row r="3" spans="1:17" ht="46.2">
      <c r="I3" s="3"/>
      <c r="J3" s="4"/>
    </row>
    <row r="6" spans="1:17" ht="46.2">
      <c r="I6" s="5" t="s">
        <v>2049</v>
      </c>
    </row>
    <row r="11" spans="1:17" ht="23.4">
      <c r="A11" s="2" t="s">
        <v>1024</v>
      </c>
      <c r="I11" s="2" t="s">
        <v>1025</v>
      </c>
      <c r="Q11" s="2" t="s">
        <v>2050</v>
      </c>
    </row>
    <row r="32" spans="1:18" ht="23.4">
      <c r="A32" s="2" t="s">
        <v>1030</v>
      </c>
      <c r="I32" s="2" t="s">
        <v>1031</v>
      </c>
      <c r="R32" s="2" t="s">
        <v>2051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showRowColHeaders="0" tabSelected="1" topLeftCell="AY14" zoomScale="54" zoomScaleNormal="54" workbookViewId="0">
      <selection activeCell="CW47" sqref="CW46:CW47"/>
    </sheetView>
  </sheetViews>
  <sheetFormatPr defaultColWidth="9" defaultRowHeight="14.4"/>
  <sheetData/>
  <pageMargins left="0.7" right="0.7" top="0.75" bottom="0.75" header="0.3" footer="0.3"/>
  <pageSetup paperSize="3" scale="80" fitToWidth="0" fitToHeight="0" orientation="portrait"/>
  <rowBreaks count="1" manualBreakCount="1">
    <brk id="56" max="16383" man="1"/>
  </rowBreaks>
  <colBreaks count="1" manualBreakCount="1">
    <brk id="75" max="1048575" man="1"/>
  </colBreaks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After preprocces data</vt:lpstr>
      <vt:lpstr>Sheet3</vt:lpstr>
      <vt:lpstr>Tables</vt:lpstr>
      <vt:lpstr>Gaming domain </vt:lpstr>
      <vt:lpstr>Cleaning</vt:lpstr>
      <vt:lpstr>Dashboard</vt:lpstr>
      <vt:lpstr>dashboard2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</dc:creator>
  <cp:lastModifiedBy>saikiran reddy</cp:lastModifiedBy>
  <dcterms:created xsi:type="dcterms:W3CDTF">2025-06-14T14:01:00Z</dcterms:created>
  <dcterms:modified xsi:type="dcterms:W3CDTF">2025-07-18T03:26:53Z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A07209DFD1774CBD922B7BAB3CF49EF1_12</vt:lpwstr>
  </property>
  <property fmtid="{D5CDD505-2E9C-101B-9397-08002B2CF9AE}" pid="3" name="KSOProductBuildVer">
    <vt:lpwstr>1033-12.2.0.21931</vt:lpwstr>
  </property>
</Properties>
</file>